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82caacae6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08f4b676354ba7"/>
    <x:sheet xmlns:r="http://schemas.openxmlformats.org/officeDocument/2006/relationships" name="IN_60" sheetId="2" r:id="R70d07870e44c42d2"/>
    <x:sheet xmlns:r="http://schemas.openxmlformats.org/officeDocument/2006/relationships" name="OUT_58" sheetId="3" r:id="R1541a79126874102"/>
    <x:sheet xmlns:r="http://schemas.openxmlformats.org/officeDocument/2006/relationships" name="ETF_7" sheetId="4" r:id="R444ef98170f9430e"/>
    <x:sheet xmlns:r="http://schemas.openxmlformats.org/officeDocument/2006/relationships" name="Rules" sheetId="5" r:id="R6d0569131cfa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"/>
    <x:numFmt numFmtId="202" formatCode="0.0"/>
    <x:numFmt numFmtId="203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a5156ccb147dc" /><Relationship Type="http://schemas.openxmlformats.org/officeDocument/2006/relationships/theme" Target="/xl/theme/theme1.xml" Id="R7566b3cefb804cbd" /><Relationship Type="http://schemas.openxmlformats.org/officeDocument/2006/relationships/sharedStrings" Target="/xl/sharedStrings.xml" Id="Rfc23c7f8a8e1413b" /><Relationship Type="http://schemas.openxmlformats.org/officeDocument/2006/relationships/worksheet" Target="/xl/worksheets/sheet1.xml" Id="Re108f4b676354ba7" /><Relationship Type="http://schemas.openxmlformats.org/officeDocument/2006/relationships/worksheet" Target="/xl/worksheets/sheet2.xml" Id="R70d07870e44c42d2" /><Relationship Type="http://schemas.openxmlformats.org/officeDocument/2006/relationships/worksheet" Target="/xl/worksheets/sheet3.xml" Id="R1541a79126874102" /><Relationship Type="http://schemas.openxmlformats.org/officeDocument/2006/relationships/worksheet" Target="/xl/worksheets/sheet4.xml" Id="R444ef98170f9430e" /><Relationship Type="http://schemas.openxmlformats.org/officeDocument/2006/relationships/worksheet" Target="/xl/worksheets/sheet5.xml" Id="R6d0569131cfa43d5" /></Relationships>
</file>

<file path=xl/tables/table1.xml><?xml version="1.0" encoding="utf-8"?>
<x:table xmlns:x="http://schemas.openxmlformats.org/spreadsheetml/2006/main" id="1" name="IN60Table" displayName="IN60Table" ref="A4:Q64" headerRowCount="1" totalsRowCount="0" totalsRowShown="0">
  <x:tableColumns count="17">
    <x:tableColumn id="1" name="#"/>
    <x:tableColumn id="2" name="Stock"/>
    <x:tableColumn id="3" name="Bucket"/>
    <x:tableColumn id="4" name="Sector"/>
    <x:tableColumn id="5" name="Qualification"/>
    <x:tableColumn id="6" name="E"/>
    <x:tableColumn id="7" name="C"/>
    <x:tableColumn id="8" name="M"/>
    <x:tableColumn id="9" name="Latest PORT"/>
    <x:tableColumn id="10" name="QTY"/>
    <x:tableColumn id="11" name="PE (x)"/>
    <x:tableColumn id="12" name="MCap (₹ Cr)"/>
    <x:tableColumn id="13" name="AI Call"/>
    <x:tableColumn id="14" name="Master Reason"/>
    <x:tableColumn id="15" name="Selection Basis"/>
    <x:tableColumn id="16" name="Master Source"/>
    <x:tableColumn id="17" name="Latest CSV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58Table" displayName="OUT58Table" ref="A4:Q62" headerRowCount="1" totalsRowCount="0" totalsRowShown="0">
  <x:tableColumns count="17">
    <x:tableColumn id="1" name="#"/>
    <x:tableColumn id="2" name="Stock"/>
    <x:tableColumn id="3" name="Bucket"/>
    <x:tableColumn id="4" name="Sector"/>
    <x:tableColumn id="5" name="Qualification"/>
    <x:tableColumn id="6" name="E"/>
    <x:tableColumn id="7" name="C"/>
    <x:tableColumn id="8" name="M"/>
    <x:tableColumn id="9" name="Latest PORT"/>
    <x:tableColumn id="10" name="QTY"/>
    <x:tableColumn id="11" name="PE (x)"/>
    <x:tableColumn id="12" name="MCap (₹ Cr)"/>
    <x:tableColumn id="13" name="AI Call"/>
    <x:tableColumn id="14" name="Master Reason"/>
    <x:tableColumn id="15" name="Selection Basis"/>
    <x:tableColumn id="16" name="Master Source"/>
    <x:tableColumn id="17" name="Latest CSV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TF7Table" displayName="ETF7Table" ref="A3:E10" headerRowCount="1" totalsRowCount="0" totalsRowShown="0">
  <x:tableColumns count="5">
    <x:tableColumn id="1" name="#"/>
    <x:tableColumn id="2" name="ETF"/>
    <x:tableColumn id="3" name="Description"/>
    <x:tableColumn id="4" name="Bucket"/>
    <x:tableColumn id="5" name="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fb9db5f9f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040d5628043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baf3eab416453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FINAL 60-STOCK EQUITY BASKET — IN / OUT REBALANCE</x:v>
      </x:c>
      <x:c r="B1" s="5"/>
      <x:c r="C1" s="5"/>
      <x:c r="D1" s="5"/>
      <x:c r="E1" s="5"/>
      <x:c r="F1" s="5"/>
    </x:row>
    <x:row r="2">
      <x:c r="A2" s="12" t="str">
        <x:v>As of 17-Sep-2026 | Latest portfolio_export (14).csv used for current P1/P2 status; Master 50 used for IN/OUT and C/M flags; HAL + SIEMENS confirmed P1 by user</x:v>
      </x:c>
      <x:c r="B2" s="12"/>
      <x:c r="C2" s="12"/>
      <x:c r="D2" s="12"/>
      <x:c r="E2" s="12"/>
      <x:c r="F2" s="12"/>
    </x:row>
    <x:row r="4">
      <x:c r="A4" s="20" t="str">
        <x:v>Metric</x:v>
      </x:c>
      <x:c r="B4" s="20" t="str">
        <x:v>Value</x:v>
      </x:c>
      <x:c r="D4" s="20" t="str">
        <x:v>Agreed construction rules</x:v>
      </x:c>
      <x:c r="E4" s="20"/>
      <x:c r="F4" s="20"/>
    </x:row>
    <x:row r="5">
      <x:c r="A5" s="26" t="str">
        <x:v>IN stocks</x:v>
      </x:c>
      <x:c r="B5" s="26" t="n">
        <x:f>COUNTA(IN_60!B5:B64)</x:f>
        <x:v>60</x:v>
      </x:c>
      <x:c r="D5" s="29" t="str">
        <x:v>1</x:v>
      </x:c>
      <x:c r="E5" s="29" t="str">
        <x:v>Retain every Master-IN stock in its existing tagged P1/P2 bucket.</x:v>
      </x:c>
      <x:c r="F5" s="29" t="str"/>
    </x:row>
    <x:row r="6">
      <x:c r="A6" s="26" t="str">
        <x:v>P1 stocks</x:v>
      </x:c>
      <x:c r="B6" s="26" t="n">
        <x:f>COUNTIF(IN_60!C5:C64,"P1")</x:f>
        <x:v>45</x:v>
      </x:c>
      <x:c r="D6" s="29" t="str">
        <x:v>2</x:v>
      </x:c>
      <x:c r="E6" s="29" t="str">
        <x:v>P1 priority: Q → C → M.</x:v>
      </x:c>
      <x:c r="F6" s="29" t="str">
        <x:v>Q is not stock-level available in the source; no Q labels invented.</x:v>
      </x:c>
    </x:row>
    <x:row r="7">
      <x:c r="A7" s="26" t="str">
        <x:v>P2 stocks</x:v>
      </x:c>
      <x:c r="B7" s="26" t="n">
        <x:f>COUNTIF(IN_60!C5:C64,"P2")</x:f>
        <x:v>15</x:v>
      </x:c>
      <x:c r="D7" s="29" t="str">
        <x:v>3</x:v>
      </x:c>
      <x:c r="E7" s="29" t="str">
        <x:v>ATHERENERG + SYRMA remain P1 conviction positions.</x:v>
      </x:c>
      <x:c r="F7" s="29" t="str"/>
    </x:row>
    <x:row r="8">
      <x:c r="A8" s="26" t="str">
        <x:v>OUT stocks (non-ETF)</x:v>
      </x:c>
      <x:c r="B8" s="26" t="n">
        <x:f>COUNTA(OUT_58!B5:B62)</x:f>
        <x:v>58</x:v>
      </x:c>
      <x:c r="D8" s="29" t="str">
        <x:v>4</x:v>
      </x:c>
      <x:c r="E8" s="29" t="str">
        <x:v>HAL + SIEMENS confirmed P1 by user.</x:v>
      </x:c>
      <x:c r="F8" s="29" t="str"/>
    </x:row>
    <x:row r="9">
      <x:c r="A9" s="26" t="str">
        <x:v>ETFs (separate)</x:v>
      </x:c>
      <x:c r="B9" s="26" t="n">
        <x:f>COUNTA(ETF_7!B4:B10)</x:f>
        <x:v>7</x:v>
      </x:c>
      <x:c r="D9" s="29" t="str">
        <x:v>5</x:v>
      </x:c>
      <x:c r="E9" s="29" t="str">
        <x:v>TATAELXSI retained in P2 from latest CSV.</x:v>
      </x:c>
      <x:c r="F9" s="29" t="str"/>
    </x:row>
    <x:row r="10">
      <x:c r="A10" s="26" t="str">
        <x:v>Total universe represented</x:v>
      </x:c>
      <x:c r="B10" s="26" t="n">
        <x:f>SUM(B5,B8,B9)</x:f>
        <x:v>125</x:v>
      </x:c>
      <x:c r="D10" s="29" t="str">
        <x:v>6</x:v>
      </x:c>
      <x:c r="E10" s="29" t="str">
        <x:v>ETFs remain separate from the 60-stock equity basket.</x:v>
      </x:c>
      <x:c r="F10" s="29" t="str"/>
    </x:row>
    <x:row r="13">
      <x:c r="A13" s="20" t="str">
        <x:v>Combined Sector Allocation</x:v>
      </x:c>
      <x:c r="B13" s="20" t="str">
        <x:v>Stocks</x:v>
      </x:c>
      <x:c r="C13" s="20" t="str">
        <x:v>% of 60</x:v>
      </x:c>
      <x:c r="D13" s="20" t="str">
        <x:v>P1 / P2</x:v>
      </x:c>
    </x:row>
    <x:row r="14">
      <x:c r="A14" s="26" t="str">
        <x:v>Financial Services</x:v>
      </x:c>
      <x:c r="B14" s="26" t="n">
        <x:f>COUNTIF(IN_60!D5:D64,A14)</x:f>
        <x:v>10</x:v>
      </x:c>
      <x:c r="C14" s="33" t="n">
        <x:f>B14/$B$5</x:f>
        <x:v>0.16666666666666666</x:v>
      </x:c>
      <x:c r="D14" s="26" t="str">
        <x:f>COUNTIFS(IN_60!D5:D64,A14,IN_60!C5:C64,"P1")&amp;" / "&amp;COUNTIFS(IN_60!D5:D64,A14,IN_60!C5:C64,"P2")</x:f>
        <x:v>8 / 2</x:v>
      </x:c>
    </x:row>
    <x:row r="15">
      <x:c r="A15" s="26" t="str">
        <x:v>IT / Technology</x:v>
      </x:c>
      <x:c r="B15" s="26" t="n">
        <x:f>COUNTIF(IN_60!D5:D64,A15)</x:f>
        <x:v>10</x:v>
      </x:c>
      <x:c r="C15" s="33" t="n">
        <x:f>B15/$B$5</x:f>
        <x:v>0.16666666666666666</x:v>
      </x:c>
      <x:c r="D15" s="26" t="str">
        <x:f>COUNTIFS(IN_60!D5:D64,A15,IN_60!C5:C64,"P1")&amp;" / "&amp;COUNTIFS(IN_60!D5:D64,A15,IN_60!C5:C64,"P2")</x:f>
        <x:v>6 / 4</x:v>
      </x:c>
    </x:row>
    <x:row r="16">
      <x:c r="A16" s="26" t="str">
        <x:v>Auto &amp; Components / EV</x:v>
      </x:c>
      <x:c r="B16" s="26" t="n">
        <x:f>COUNTIF(IN_60!D5:D64,A16)</x:f>
        <x:v>9</x:v>
      </x:c>
      <x:c r="C16" s="33" t="n">
        <x:f>B16/$B$5</x:f>
        <x:v>0.15</x:v>
      </x:c>
      <x:c r="D16" s="26" t="str">
        <x:f>COUNTIFS(IN_60!D5:D64,A16,IN_60!C5:C64,"P1")&amp;" / "&amp;COUNTIFS(IN_60!D5:D64,A16,IN_60!C5:C64,"P2")</x:f>
        <x:v>6 / 3</x:v>
      </x:c>
    </x:row>
    <x:row r="17">
      <x:c r="A17" s="26" t="str">
        <x:v>Industrial / Capital Goods</x:v>
      </x:c>
      <x:c r="B17" s="26" t="n">
        <x:f>COUNTIF(IN_60!D5:D64,A17)</x:f>
        <x:v>9</x:v>
      </x:c>
      <x:c r="C17" s="33" t="n">
        <x:f>B17/$B$5</x:f>
        <x:v>0.15</x:v>
      </x:c>
      <x:c r="D17" s="26" t="str">
        <x:f>COUNTIFS(IN_60!D5:D64,A17,IN_60!C5:C64,"P1")&amp;" / "&amp;COUNTIFS(IN_60!D5:D64,A17,IN_60!C5:C64,"P2")</x:f>
        <x:v>8 / 1</x:v>
      </x:c>
    </x:row>
    <x:row r="18">
      <x:c r="A18" s="26" t="str">
        <x:v>Energy / Utilities</x:v>
      </x:c>
      <x:c r="B18" s="26" t="n">
        <x:f>COUNTIF(IN_60!D5:D64,A18)</x:f>
        <x:v>5</x:v>
      </x:c>
      <x:c r="C18" s="33" t="n">
        <x:f>B18/$B$5</x:f>
        <x:v>0.08333333333333333</x:v>
      </x:c>
      <x:c r="D18" s="26" t="str">
        <x:f>COUNTIFS(IN_60!D5:D64,A18,IN_60!C5:C64,"P1")&amp;" / "&amp;COUNTIFS(IN_60!D5:D64,A18,IN_60!C5:C64,"P2")</x:f>
        <x:v>4 / 1</x:v>
      </x:c>
    </x:row>
    <x:row r="19">
      <x:c r="A19" s="26" t="str">
        <x:v>Consumer / FMCG</x:v>
      </x:c>
      <x:c r="B19" s="26" t="n">
        <x:f>COUNTIF(IN_60!D5:D64,A19)</x:f>
        <x:v>4</x:v>
      </x:c>
      <x:c r="C19" s="33" t="n">
        <x:f>B19/$B$5</x:f>
        <x:v>0.06666666666666667</x:v>
      </x:c>
      <x:c r="D19" s="26" t="str">
        <x:f>COUNTIFS(IN_60!D5:D64,A19,IN_60!C5:C64,"P1")&amp;" / "&amp;COUNTIFS(IN_60!D5:D64,A19,IN_60!C5:C64,"P2")</x:f>
        <x:v>3 / 1</x:v>
      </x:c>
    </x:row>
    <x:row r="20">
      <x:c r="A20" s="26" t="str">
        <x:v>Healthcare / Pharma</x:v>
      </x:c>
      <x:c r="B20" s="26" t="n">
        <x:f>COUNTIF(IN_60!D5:D64,A20)</x:f>
        <x:v>4</x:v>
      </x:c>
      <x:c r="C20" s="33" t="n">
        <x:f>B20/$B$5</x:f>
        <x:v>0.06666666666666667</x:v>
      </x:c>
      <x:c r="D20" s="26" t="str">
        <x:f>COUNTIFS(IN_60!D5:D64,A20,IN_60!C5:C64,"P1")&amp;" / "&amp;COUNTIFS(IN_60!D5:D64,A20,IN_60!C5:C64,"P2")</x:f>
        <x:v>2 / 2</x:v>
      </x:c>
    </x:row>
    <x:row r="21">
      <x:c r="A21" s="26" t="str">
        <x:v>Defence / Aerospace</x:v>
      </x:c>
      <x:c r="B21" s="26" t="n">
        <x:f>COUNTIF(IN_60!D5:D64,A21)</x:f>
        <x:v>3</x:v>
      </x:c>
      <x:c r="C21" s="33" t="n">
        <x:f>B21/$B$5</x:f>
        <x:v>0.05</x:v>
      </x:c>
      <x:c r="D21" s="26" t="str">
        <x:f>COUNTIFS(IN_60!D5:D64,A21,IN_60!C5:C64,"P1")&amp;" / "&amp;COUNTIFS(IN_60!D5:D64,A21,IN_60!C5:C64,"P2")</x:f>
        <x:v>3 / 0</x:v>
      </x:c>
    </x:row>
    <x:row r="22">
      <x:c r="A22" s="26" t="str">
        <x:v>Electronics / EMS</x:v>
      </x:c>
      <x:c r="B22" s="26" t="n">
        <x:f>COUNTIF(IN_60!D5:D64,A22)</x:f>
        <x:v>2</x:v>
      </x:c>
      <x:c r="C22" s="33" t="n">
        <x:f>B22/$B$5</x:f>
        <x:v>0.03333333333333333</x:v>
      </x:c>
      <x:c r="D22" s="26" t="str">
        <x:f>COUNTIFS(IN_60!D5:D64,A22,IN_60!C5:C64,"P1")&amp;" / "&amp;COUNTIFS(IN_60!D5:D64,A22,IN_60!C5:C64,"P2")</x:f>
        <x:v>2 / 0</x:v>
      </x:c>
    </x:row>
    <x:row r="23">
      <x:c r="A23" s="26" t="str">
        <x:v>Chemicals / Materials</x:v>
      </x:c>
      <x:c r="B23" s="26" t="n">
        <x:f>COUNTIF(IN_60!D5:D64,A23)</x:f>
        <x:v>3</x:v>
      </x:c>
      <x:c r="C23" s="33" t="n">
        <x:f>B23/$B$5</x:f>
        <x:v>0.05</x:v>
      </x:c>
      <x:c r="D23" s="26" t="str">
        <x:f>COUNTIFS(IN_60!D5:D64,A23,IN_60!C5:C64,"P1")&amp;" / "&amp;COUNTIFS(IN_60!D5:D64,A23,IN_60!C5:C64,"P2")</x:f>
        <x:v>2 / 1</x:v>
      </x:c>
    </x:row>
    <x:row r="24">
      <x:c r="A24" s="26" t="str">
        <x:v>Business Services</x:v>
      </x:c>
      <x:c r="B24" s="26" t="n">
        <x:f>COUNTIF(IN_60!D5:D64,A24)</x:f>
        <x:v>1</x:v>
      </x:c>
      <x:c r="C24" s="33" t="n">
        <x:f>B24/$B$5</x:f>
        <x:v>0.016666666666666666</x:v>
      </x:c>
      <x:c r="D24" s="26" t="str">
        <x:f>COUNTIFS(IN_60!D5:D64,A24,IN_60!C5:C64,"P1")&amp;" / "&amp;COUNTIFS(IN_60!D5:D64,A24,IN_60!C5:C64,"P2")</x:f>
        <x:v>1 / 0</x:v>
      </x:c>
    </x:row>
  </x:sheetData>
  <x:mergeCells>
    <x:mergeCell ref="A1:F1"/>
    <x:mergeCell ref="A2:F2"/>
    <x:mergeCell ref="D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9" hidden="0" customWidth="1"/>
    <x:col min="4" max="4" width="24" hidden="0" customWidth="1"/>
    <x:col min="5" max="5" width="13" hidden="0" customWidth="1"/>
    <x:col min="6" max="6" width="5" hidden="0" customWidth="1"/>
    <x:col min="7" max="7" width="5" hidden="0" customWidth="1"/>
    <x:col min="8" max="8" width="5" hidden="0" customWidth="1"/>
    <x:col min="9" max="9" width="12" hidden="0" customWidth="1"/>
    <x:col min="10" max="10" width="8" hidden="0" customWidth="1"/>
    <x:col min="11" max="11" width="9" hidden="0" customWidth="1"/>
    <x:col min="12" max="12" width="14" hidden="0" customWidth="1"/>
    <x:col min="13" max="13" width="10" hidden="0" customWidth="1"/>
    <x:col min="14" max="14" width="34" hidden="0" customWidth="1"/>
    <x:col min="15" max="15" width="38" hidden="0" customWidth="1"/>
    <x:col min="16" max="16" width="18" hidden="0" customWidth="1"/>
    <x:col min="17" max="17" width="24" hidden="0" customWidth="1"/>
  </x:cols>
  <x:sheetData>
    <x:row r="1">
      <x:c r="A1" s="5" t="str">
        <x:v>IN — FINAL 60-STOCK EQUITY BASKET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36" t="str">
        <x:v>P1 = 45 | P2 = 15 | Retains all 50 Master-IN stocks; 10 additional OUT names promoted under the agreed hierarchy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</x:row>
    <x:row r="4">
      <x:c r="A4" s="20" t="str">
        <x:v>#</x:v>
      </x:c>
      <x:c r="B4" s="20" t="str">
        <x:v>Stock</x:v>
      </x:c>
      <x:c r="C4" s="20" t="str">
        <x:v>Bucket</x:v>
      </x:c>
      <x:c r="D4" s="20" t="str">
        <x:v>Sector</x:v>
      </x:c>
      <x:c r="E4" s="20" t="str">
        <x:v>Qualification</x:v>
      </x:c>
      <x:c r="F4" s="20" t="str">
        <x:v>E</x:v>
      </x:c>
      <x:c r="G4" s="20" t="str">
        <x:v>C</x:v>
      </x:c>
      <x:c r="H4" s="20" t="str">
        <x:v>M</x:v>
      </x:c>
      <x:c r="I4" s="20" t="str">
        <x:v>Latest PORT</x:v>
      </x:c>
      <x:c r="J4" s="20" t="str">
        <x:v>QTY</x:v>
      </x:c>
      <x:c r="K4" s="20" t="str">
        <x:v>PE (x)</x:v>
      </x:c>
      <x:c r="L4" s="20" t="str">
        <x:v>MCap (₹ Cr)</x:v>
      </x:c>
      <x:c r="M4" s="20" t="str">
        <x:v>AI Call</x:v>
      </x:c>
      <x:c r="N4" s="20" t="str">
        <x:v>Master Reason</x:v>
      </x:c>
      <x:c r="O4" s="20" t="str">
        <x:v>Selection Basis</x:v>
      </x:c>
      <x:c r="P4" s="20" t="str">
        <x:v>Master Source</x:v>
      </x:c>
      <x:c r="Q4" s="20" t="str">
        <x:v>Latest CSV Source</x:v>
      </x:c>
    </x:row>
    <x:row r="5">
      <x:c r="A5" s="39" t="n">
        <x:v>1</x:v>
      </x:c>
      <x:c r="B5" s="39" t="str">
        <x:v>HDFCBANK</x:v>
      </x:c>
      <x:c r="C5" s="49" t="str">
        <x:v>P1</x:v>
      </x:c>
      <x:c r="D5" s="39" t="str">
        <x:v>Financial Services</x:v>
      </x:c>
      <x:c r="E5" s="39" t="str">
        <x:v>—</x:v>
      </x:c>
      <x:c r="F5" s="39" t="str">
        <x:v>Yes</x:v>
      </x:c>
      <x:c r="G5" s="39" t="str"/>
      <x:c r="H5" s="39" t="str"/>
      <x:c r="I5" s="39" t="str">
        <x:v>P1</x:v>
      </x:c>
      <x:c r="J5" s="41" t="str">
        <x:v>69</x:v>
      </x:c>
      <x:c r="K5" s="43" t="str">
        <x:v>14.1</x:v>
      </x:c>
      <x:c r="L5" s="45" t="str">
        <x:v>1105958</x:v>
      </x:c>
      <x:c r="M5" s="39" t="str">
        <x:v>BUY</x:v>
      </x:c>
      <x:c r="N5" s="39" t="str">
        <x:v>Core private-bank anchor; existing holding</x:v>
      </x:c>
      <x:c r="O5" s="39" t="str">
        <x:v>Existing Master IN / current P1</x:v>
      </x:c>
      <x:c r="P5" s="39" t="str">
        <x:v>Master 50 IN</x:v>
      </x:c>
      <x:c r="Q5" s="39" t="str">
        <x:v>portfolio_export (14).csv</x:v>
      </x:c>
    </x:row>
    <x:row r="6">
      <x:c r="A6" s="39" t="n">
        <x:v>2</x:v>
      </x:c>
      <x:c r="B6" s="39" t="str">
        <x:v>ICICIBANK</x:v>
      </x:c>
      <x:c r="C6" s="49" t="str">
        <x:v>P1</x:v>
      </x:c>
      <x:c r="D6" s="39" t="str">
        <x:v>Financial Services</x:v>
      </x:c>
      <x:c r="E6" s="39" t="str">
        <x:v>—</x:v>
      </x:c>
      <x:c r="F6" s="39" t="str">
        <x:v>Yes</x:v>
      </x:c>
      <x:c r="G6" s="39" t="str"/>
      <x:c r="H6" s="39" t="str"/>
      <x:c r="I6" s="39" t="str">
        <x:v>P1</x:v>
      </x:c>
      <x:c r="J6" s="41" t="str">
        <x:v>15</x:v>
      </x:c>
      <x:c r="K6" s="43" t="str">
        <x:v>17.6</x:v>
      </x:c>
      <x:c r="L6" s="45" t="str">
        <x:v>970470</x:v>
      </x:c>
      <x:c r="M6" s="39" t="str">
        <x:v>BUY</x:v>
      </x:c>
      <x:c r="N6" s="39" t="str">
        <x:v>Strong private-bank franchise</x:v>
      </x:c>
      <x:c r="O6" s="39" t="str">
        <x:v>Existing Master IN / current P1</x:v>
      </x:c>
      <x:c r="P6" s="39" t="str">
        <x:v>Master 50 IN</x:v>
      </x:c>
      <x:c r="Q6" s="39" t="str">
        <x:v>portfolio_export (14).csv</x:v>
      </x:c>
    </x:row>
    <x:row r="7">
      <x:c r="A7" s="39" t="n">
        <x:v>3</x:v>
      </x:c>
      <x:c r="B7" s="39" t="str">
        <x:v>SBIN</x:v>
      </x:c>
      <x:c r="C7" s="49" t="str">
        <x:v>P1</x:v>
      </x:c>
      <x:c r="D7" s="39" t="str">
        <x:v>Financial Services</x:v>
      </x:c>
      <x:c r="E7" s="39" t="str">
        <x:v>—</x:v>
      </x:c>
      <x:c r="F7" s="39" t="str">
        <x:v>Yes</x:v>
      </x:c>
      <x:c r="G7" s="39" t="str"/>
      <x:c r="H7" s="39" t="str"/>
      <x:c r="I7" s="39" t="str">
        <x:v>P1</x:v>
      </x:c>
      <x:c r="J7" s="41" t="str">
        <x:v>34</x:v>
      </x:c>
      <x:c r="K7" s="43" t="str">
        <x:v>10.6</x:v>
      </x:c>
      <x:c r="L7" s="45" t="str">
        <x:v>915631</x:v>
      </x:c>
      <x:c r="M7" s="39" t="str">
        <x:v>BUY</x:v>
      </x:c>
      <x:c r="N7" s="39" t="str">
        <x:v>Large banking franchise and diversification</x:v>
      </x:c>
      <x:c r="O7" s="39" t="str">
        <x:v>Existing Master IN / current P1</x:v>
      </x:c>
      <x:c r="P7" s="39" t="str">
        <x:v>Master 50 IN</x:v>
      </x:c>
      <x:c r="Q7" s="39" t="str">
        <x:v>portfolio_export (14).csv</x:v>
      </x:c>
    </x:row>
    <x:row r="8">
      <x:c r="A8" s="39" t="n">
        <x:v>4</x:v>
      </x:c>
      <x:c r="B8" s="39" t="str">
        <x:v>BAJFINANCE</x:v>
      </x:c>
      <x:c r="C8" s="49" t="str">
        <x:v>P1</x:v>
      </x:c>
      <x:c r="D8" s="39" t="str">
        <x:v>Financial Services</x:v>
      </x:c>
      <x:c r="E8" s="39" t="str">
        <x:v>—</x:v>
      </x:c>
      <x:c r="F8" s="39" t="str">
        <x:v>Yes</x:v>
      </x:c>
      <x:c r="G8" s="39" t="str"/>
      <x:c r="H8" s="39" t="str"/>
      <x:c r="I8" s="39" t="str">
        <x:v>P1</x:v>
      </x:c>
      <x:c r="J8" s="41" t="str">
        <x:v>53</x:v>
      </x:c>
      <x:c r="K8" s="43" t="str">
        <x:v>30.9</x:v>
      </x:c>
      <x:c r="L8" s="45" t="str">
        <x:v>62648</x:v>
      </x:c>
      <x:c r="M8" s="39" t="str">
        <x:v>BUY</x:v>
      </x:c>
      <x:c r="N8" s="39" t="str">
        <x:v>High-quality financial compounder</x:v>
      </x:c>
      <x:c r="O8" s="39" t="str">
        <x:v>Existing Master IN / current P1</x:v>
      </x:c>
      <x:c r="P8" s="39" t="str">
        <x:v>Master 50 IN</x:v>
      </x:c>
      <x:c r="Q8" s="39" t="str">
        <x:v>portfolio_export (14).csv</x:v>
      </x:c>
    </x:row>
    <x:row r="9">
      <x:c r="A9" s="39" t="n">
        <x:v>5</x:v>
      </x:c>
      <x:c r="B9" s="39" t="str">
        <x:v>SBILIFE</x:v>
      </x:c>
      <x:c r="C9" s="49" t="str">
        <x:v>P1</x:v>
      </x:c>
      <x:c r="D9" s="39" t="str">
        <x:v>Financial Services</x:v>
      </x:c>
      <x:c r="E9" s="39" t="str">
        <x:v>C</x:v>
      </x:c>
      <x:c r="F9" s="39" t="str">
        <x:v>Yes</x:v>
      </x:c>
      <x:c r="G9" s="39" t="str">
        <x:v>Yes</x:v>
      </x:c>
      <x:c r="H9" s="39" t="str"/>
      <x:c r="I9" s="39" t="str">
        <x:v>P1</x:v>
      </x:c>
      <x:c r="J9" s="41" t="str">
        <x:v>5</x:v>
      </x:c>
      <x:c r="K9" s="43" t="str">
        <x:v>65.5</x:v>
      </x:c>
      <x:c r="L9" s="45" t="str">
        <x:v>169794</x:v>
      </x:c>
      <x:c r="M9" s="39" t="str">
        <x:v>BUY</x:v>
      </x:c>
      <x:c r="N9" s="39" t="str">
        <x:v>Long-term insurance growth exposure</x:v>
      </x:c>
      <x:c r="O9" s="39" t="str">
        <x:v>Existing Master IN / current P1</x:v>
      </x:c>
      <x:c r="P9" s="39" t="str">
        <x:v>Master 50 IN</x:v>
      </x:c>
      <x:c r="Q9" s="39" t="str">
        <x:v>portfolio_export (14).csv</x:v>
      </x:c>
    </x:row>
    <x:row r="10">
      <x:c r="A10" s="39" t="n">
        <x:v>6</x:v>
      </x:c>
      <x:c r="B10" s="39" t="str">
        <x:v>RELIANCE</x:v>
      </x:c>
      <x:c r="C10" s="49" t="str">
        <x:v>P1</x:v>
      </x:c>
      <x:c r="D10" s="39" t="str">
        <x:v>Energy / Utilities</x:v>
      </x:c>
      <x:c r="E10" s="39" t="str">
        <x:v>—</x:v>
      </x:c>
      <x:c r="F10" s="39" t="str">
        <x:v>Yes</x:v>
      </x:c>
      <x:c r="G10" s="39" t="str"/>
      <x:c r="H10" s="39" t="str"/>
      <x:c r="I10" s="39" t="str">
        <x:v>P1</x:v>
      </x:c>
      <x:c r="J10" s="41" t="str">
        <x:v>34</x:v>
      </x:c>
      <x:c r="K10" s="43" t="str">
        <x:v>22.5</x:v>
      </x:c>
      <x:c r="L10" s="45" t="str">
        <x:v>1679438</x:v>
      </x:c>
      <x:c r="M10" s="39" t="str">
        <x:v>BUY</x:v>
      </x:c>
      <x:c r="N10" s="39" t="str">
        <x:v>Diversified large-cap anchor</x:v>
      </x:c>
      <x:c r="O10" s="39" t="str">
        <x:v>Existing Master IN / current P1</x:v>
      </x:c>
      <x:c r="P10" s="39" t="str">
        <x:v>Master 50 IN</x:v>
      </x:c>
      <x:c r="Q10" s="39" t="str">
        <x:v>portfolio_export (14).csv</x:v>
      </x:c>
    </x:row>
    <x:row r="11">
      <x:c r="A11" s="39" t="n">
        <x:v>7</x:v>
      </x:c>
      <x:c r="B11" s="39" t="str">
        <x:v>TCS</x:v>
      </x:c>
      <x:c r="C11" s="49" t="str">
        <x:v>P1</x:v>
      </x:c>
      <x:c r="D11" s="39" t="str">
        <x:v>IT / Technology</x:v>
      </x:c>
      <x:c r="E11" s="39" t="str">
        <x:v>C</x:v>
      </x:c>
      <x:c r="F11" s="39" t="str">
        <x:v>Yes</x:v>
      </x:c>
      <x:c r="G11" s="39" t="str">
        <x:v>Yes</x:v>
      </x:c>
      <x:c r="H11" s="39" t="str"/>
      <x:c r="I11" s="39" t="str">
        <x:v>P1</x:v>
      </x:c>
      <x:c r="J11" s="41" t="str">
        <x:v>27</x:v>
      </x:c>
      <x:c r="K11" s="43" t="str">
        <x:v>15.9</x:v>
      </x:c>
      <x:c r="L11" s="45" t="str">
        <x:v>793021</x:v>
      </x:c>
      <x:c r="M11" s="39" t="str">
        <x:v>BUY</x:v>
      </x:c>
      <x:c r="N11" s="39" t="str">
        <x:v>Large IT compounder</x:v>
      </x:c>
      <x:c r="O11" s="39" t="str">
        <x:v>Existing Master IN / current P1</x:v>
      </x:c>
      <x:c r="P11" s="39" t="str">
        <x:v>Master 50 IN</x:v>
      </x:c>
      <x:c r="Q11" s="39" t="str">
        <x:v>portfolio_export (14).csv</x:v>
      </x:c>
    </x:row>
    <x:row r="12">
      <x:c r="A12" s="39" t="n">
        <x:v>8</x:v>
      </x:c>
      <x:c r="B12" s="39" t="str">
        <x:v>INFY</x:v>
      </x:c>
      <x:c r="C12" s="49" t="str">
        <x:v>P1</x:v>
      </x:c>
      <x:c r="D12" s="39" t="str">
        <x:v>IT / Technology</x:v>
      </x:c>
      <x:c r="E12" s="39" t="str">
        <x:v>C</x:v>
      </x:c>
      <x:c r="F12" s="39" t="str">
        <x:v>Yes</x:v>
      </x:c>
      <x:c r="G12" s="39" t="str">
        <x:v>Yes</x:v>
      </x:c>
      <x:c r="H12" s="39" t="str"/>
      <x:c r="I12" s="39" t="str">
        <x:v>P1</x:v>
      </x:c>
      <x:c r="J12" s="41" t="str">
        <x:v>27</x:v>
      </x:c>
      <x:c r="K12" s="43" t="str">
        <x:v>14.3</x:v>
      </x:c>
      <x:c r="L12" s="45" t="str">
        <x:v>4469</x:v>
      </x:c>
      <x:c r="M12" s="39" t="str">
        <x:v>BUY</x:v>
      </x:c>
      <x:c r="N12" s="39" t="str">
        <x:v>Large IT franchise and cash generation</x:v>
      </x:c>
      <x:c r="O12" s="39" t="str">
        <x:v>Existing Master IN / current P1</x:v>
      </x:c>
      <x:c r="P12" s="39" t="str">
        <x:v>Master 50 IN</x:v>
      </x:c>
      <x:c r="Q12" s="39" t="str">
        <x:v>portfolio_export (14).csv</x:v>
      </x:c>
    </x:row>
    <x:row r="13">
      <x:c r="A13" s="39" t="n">
        <x:v>9</x:v>
      </x:c>
      <x:c r="B13" s="39" t="str">
        <x:v>HCLTECH</x:v>
      </x:c>
      <x:c r="C13" s="49" t="str">
        <x:v>P1</x:v>
      </x:c>
      <x:c r="D13" s="39" t="str">
        <x:v>IT / Technology</x:v>
      </x:c>
      <x:c r="E13" s="39" t="str">
        <x:v>C</x:v>
      </x:c>
      <x:c r="F13" s="39" t="str">
        <x:v>Yes</x:v>
      </x:c>
      <x:c r="G13" s="39" t="str">
        <x:v>Yes</x:v>
      </x:c>
      <x:c r="H13" s="39" t="str"/>
      <x:c r="I13" s="39" t="str">
        <x:v>P1</x:v>
      </x:c>
      <x:c r="J13" s="41" t="str">
        <x:v>36</x:v>
      </x:c>
      <x:c r="K13" s="43" t="str">
        <x:v>19.5</x:v>
      </x:c>
      <x:c r="L13" s="45" t="str">
        <x:v>336110</x:v>
      </x:c>
      <x:c r="M13" s="39" t="str">
        <x:v>BUY</x:v>
      </x:c>
      <x:c r="N13" s="39" t="str">
        <x:v>Large IT exposure with established business</x:v>
      </x:c>
      <x:c r="O13" s="39" t="str">
        <x:v>Existing Master IN / current P1</x:v>
      </x:c>
      <x:c r="P13" s="39" t="str">
        <x:v>Master 50 IN</x:v>
      </x:c>
      <x:c r="Q13" s="39" t="str">
        <x:v>portfolio_export (14).csv</x:v>
      </x:c>
    </x:row>
    <x:row r="14">
      <x:c r="A14" s="39" t="n">
        <x:v>10</x:v>
      </x:c>
      <x:c r="B14" s="39" t="str">
        <x:v>PERSISTENT</x:v>
      </x:c>
      <x:c r="C14" s="49" t="str">
        <x:v>P1</x:v>
      </x:c>
      <x:c r="D14" s="39" t="str">
        <x:v>IT / Technology</x:v>
      </x:c>
      <x:c r="E14" s="39" t="str">
        <x:v>C</x:v>
      </x:c>
      <x:c r="F14" s="39" t="str">
        <x:v>Yes</x:v>
      </x:c>
      <x:c r="G14" s="39" t="str">
        <x:v>Yes</x:v>
      </x:c>
      <x:c r="H14" s="39" t="str"/>
      <x:c r="I14" s="39" t="str">
        <x:v>P1</x:v>
      </x:c>
      <x:c r="J14" s="41" t="str">
        <x:v>3</x:v>
      </x:c>
      <x:c r="K14" s="43" t="str">
        <x:v>44.5</x:v>
      </x:c>
      <x:c r="L14" s="45" t="str">
        <x:v>84180</x:v>
      </x:c>
      <x:c r="M14" s="39" t="str">
        <x:v>BUY</x:v>
      </x:c>
      <x:c r="N14" s="39" t="str">
        <x:v>Digital engineering / AI growth</x:v>
      </x:c>
      <x:c r="O14" s="39" t="str">
        <x:v>Existing Master IN / current P1</x:v>
      </x:c>
      <x:c r="P14" s="39" t="str">
        <x:v>Master 50 IN</x:v>
      </x:c>
      <x:c r="Q14" s="39" t="str">
        <x:v>portfolio_export (14).csv</x:v>
      </x:c>
    </x:row>
    <x:row r="15">
      <x:c r="A15" s="39" t="n">
        <x:v>11</x:v>
      </x:c>
      <x:c r="B15" s="39" t="str">
        <x:v>COFORGE</x:v>
      </x:c>
      <x:c r="C15" s="49" t="str">
        <x:v>P1</x:v>
      </x:c>
      <x:c r="D15" s="39" t="str">
        <x:v>IT / Technology</x:v>
      </x:c>
      <x:c r="E15" s="39" t="str">
        <x:v>C+M</x:v>
      </x:c>
      <x:c r="F15" s="39" t="str">
        <x:v>Yes</x:v>
      </x:c>
      <x:c r="G15" s="39" t="str">
        <x:v>Yes</x:v>
      </x:c>
      <x:c r="H15" s="39" t="str">
        <x:v>Yes</x:v>
      </x:c>
      <x:c r="I15" s="39" t="str">
        <x:v>P1</x:v>
      </x:c>
      <x:c r="J15" s="41" t="str">
        <x:v>5</x:v>
      </x:c>
      <x:c r="K15" s="43" t="str">
        <x:v>33.5</x:v>
      </x:c>
      <x:c r="L15" s="45" t="str">
        <x:v>10893</x:v>
      </x:c>
      <x:c r="M15" s="39" t="str">
        <x:v>HOLD</x:v>
      </x:c>
      <x:c r="N15" s="39" t="str">
        <x:v>Strong growth and cash-flow profile</x:v>
      </x:c>
      <x:c r="O15" s="39" t="str">
        <x:v>Existing Master IN / current P1</x:v>
      </x:c>
      <x:c r="P15" s="39" t="str">
        <x:v>Master 50 IN</x:v>
      </x:c>
      <x:c r="Q15" s="39" t="str">
        <x:v>portfolio_export (14).csv</x:v>
      </x:c>
    </x:row>
    <x:row r="16">
      <x:c r="A16" s="39" t="n">
        <x:v>12</x:v>
      </x:c>
      <x:c r="B16" s="39" t="str">
        <x:v>ECLERX</x:v>
      </x:c>
      <x:c r="C16" s="49" t="str">
        <x:v>P1</x:v>
      </x:c>
      <x:c r="D16" s="39" t="str">
        <x:v>IT / Technology</x:v>
      </x:c>
      <x:c r="E16" s="39" t="str">
        <x:v>C</x:v>
      </x:c>
      <x:c r="F16" s="39" t="str">
        <x:v>Yes</x:v>
      </x:c>
      <x:c r="G16" s="39" t="str">
        <x:v>Yes</x:v>
      </x:c>
      <x:c r="H16" s="39" t="str"/>
      <x:c r="I16" s="39" t="str">
        <x:v>P1</x:v>
      </x:c>
      <x:c r="J16" s="41" t="str">
        <x:v>1</x:v>
      </x:c>
      <x:c r="K16" s="43" t="str">
        <x:v>25.4</x:v>
      </x:c>
      <x:c r="L16" s="45" t="str">
        <x:v>18132</x:v>
      </x:c>
      <x:c r="M16" s="39" t="str">
        <x:v>BUY</x:v>
      </x:c>
      <x:c r="N16" s="39" t="str">
        <x:v>Specialized digital/data-services business</x:v>
      </x:c>
      <x:c r="O16" s="39" t="str">
        <x:v>Existing Master IN / current P1</x:v>
      </x:c>
      <x:c r="P16" s="39" t="str">
        <x:v>Master 50 IN</x:v>
      </x:c>
      <x:c r="Q16" s="39" t="str">
        <x:v>portfolio_export (14).csv</x:v>
      </x:c>
    </x:row>
    <x:row r="17">
      <x:c r="A17" s="39" t="n">
        <x:v>13</x:v>
      </x:c>
      <x:c r="B17" s="39" t="str">
        <x:v>TITAN</x:v>
      </x:c>
      <x:c r="C17" s="49" t="str">
        <x:v>P1</x:v>
      </x:c>
      <x:c r="D17" s="39" t="str">
        <x:v>Consumer / FMCG</x:v>
      </x:c>
      <x:c r="E17" s="39" t="str">
        <x:v>C</x:v>
      </x:c>
      <x:c r="F17" s="39" t="str">
        <x:v>Yes</x:v>
      </x:c>
      <x:c r="G17" s="39" t="str">
        <x:v>Yes</x:v>
      </x:c>
      <x:c r="H17" s="39" t="str"/>
      <x:c r="I17" s="39" t="str">
        <x:v>P1</x:v>
      </x:c>
      <x:c r="J17" s="41" t="str">
        <x:v>18</x:v>
      </x:c>
      <x:c r="K17" s="43" t="str">
        <x:v>75.7</x:v>
      </x:c>
      <x:c r="L17" s="45" t="str">
        <x:v>434339</x:v>
      </x:c>
      <x:c r="M17" s="39" t="str">
        <x:v>HOLD</x:v>
      </x:c>
      <x:c r="N17" s="39" t="str">
        <x:v>Consumer franchise with long runway</x:v>
      </x:c>
      <x:c r="O17" s="39" t="str">
        <x:v>Existing Master IN / current P1</x:v>
      </x:c>
      <x:c r="P17" s="39" t="str">
        <x:v>Master 50 IN</x:v>
      </x:c>
      <x:c r="Q17" s="39" t="str">
        <x:v>portfolio_export (14).csv</x:v>
      </x:c>
    </x:row>
    <x:row r="18">
      <x:c r="A18" s="39" t="n">
        <x:v>14</x:v>
      </x:c>
      <x:c r="B18" s="39" t="str">
        <x:v>ITC</x:v>
      </x:c>
      <x:c r="C18" s="49" t="str">
        <x:v>P1</x:v>
      </x:c>
      <x:c r="D18" s="39" t="str">
        <x:v>Consumer / FMCG</x:v>
      </x:c>
      <x:c r="E18" s="39" t="str">
        <x:v>—</x:v>
      </x:c>
      <x:c r="F18" s="39" t="str">
        <x:v>Yes</x:v>
      </x:c>
      <x:c r="G18" s="39" t="str"/>
      <x:c r="H18" s="39" t="str"/>
      <x:c r="I18" s="39" t="str">
        <x:v>P1</x:v>
      </x:c>
      <x:c r="J18" s="41" t="str">
        <x:v>102</x:v>
      </x:c>
      <x:c r="K18" s="43" t="str">
        <x:v>16.7</x:v>
      </x:c>
      <x:c r="L18" s="45" t="str">
        <x:v>330884</x:v>
      </x:c>
      <x:c r="M18" s="39" t="str">
        <x:v>BUY</x:v>
      </x:c>
      <x:c r="N18" s="39" t="str">
        <x:v>Cash-generative defensive anchor</x:v>
      </x:c>
      <x:c r="O18" s="39" t="str">
        <x:v>Existing Master IN / current P1</x:v>
      </x:c>
      <x:c r="P18" s="39" t="str">
        <x:v>Master 50 IN</x:v>
      </x:c>
      <x:c r="Q18" s="39" t="str">
        <x:v>portfolio_export (14).csv</x:v>
      </x:c>
    </x:row>
    <x:row r="19">
      <x:c r="A19" s="39" t="n">
        <x:v>15</x:v>
      </x:c>
      <x:c r="B19" s="39" t="str">
        <x:v>HINDUNILVR</x:v>
      </x:c>
      <x:c r="C19" s="49" t="str">
        <x:v>P1</x:v>
      </x:c>
      <x:c r="D19" s="39" t="str">
        <x:v>Consumer / FMCG</x:v>
      </x:c>
      <x:c r="E19" s="39" t="str">
        <x:v>C</x:v>
      </x:c>
      <x:c r="F19" s="39" t="str">
        <x:v>Yes</x:v>
      </x:c>
      <x:c r="G19" s="39" t="str">
        <x:v>Yes</x:v>
      </x:c>
      <x:c r="H19" s="39" t="str"/>
      <x:c r="I19" s="39" t="str">
        <x:v>P1</x:v>
      </x:c>
      <x:c r="J19" s="41" t="str">
        <x:v>17</x:v>
      </x:c>
      <x:c r="K19" s="43" t="str">
        <x:v>30.8</x:v>
      </x:c>
      <x:c r="L19" s="45" t="str">
        <x:v>460990</x:v>
      </x:c>
      <x:c r="M19" s="39" t="str">
        <x:v>HOLD</x:v>
      </x:c>
      <x:c r="N19" s="39" t="str">
        <x:v>Established FMCG franchise</x:v>
      </x:c>
      <x:c r="O19" s="39" t="str">
        <x:v>Existing Master IN / current P1</x:v>
      </x:c>
      <x:c r="P19" s="39" t="str">
        <x:v>Master 50 IN</x:v>
      </x:c>
      <x:c r="Q19" s="39" t="str">
        <x:v>portfolio_export (14).csv</x:v>
      </x:c>
    </x:row>
    <x:row r="20">
      <x:c r="A20" s="39" t="n">
        <x:v>16</x:v>
      </x:c>
      <x:c r="B20" s="39" t="str">
        <x:v>PIDILITIND</x:v>
      </x:c>
      <x:c r="C20" s="49" t="str">
        <x:v>P1</x:v>
      </x:c>
      <x:c r="D20" s="39" t="str">
        <x:v>Chemicals / Materials</x:v>
      </x:c>
      <x:c r="E20" s="39" t="str">
        <x:v>C</x:v>
      </x:c>
      <x:c r="F20" s="39" t="str">
        <x:v>Yes</x:v>
      </x:c>
      <x:c r="G20" s="39" t="str">
        <x:v>Yes</x:v>
      </x:c>
      <x:c r="H20" s="39" t="str"/>
      <x:c r="I20" s="39" t="str">
        <x:v>P1</x:v>
      </x:c>
      <x:c r="J20" s="41" t="str">
        <x:v>8</x:v>
      </x:c>
      <x:c r="K20" s="43" t="str">
        <x:v>59.5</x:v>
      </x:c>
      <x:c r="L20" s="45" t="str">
        <x:v>78610</x:v>
      </x:c>
      <x:c r="M20" s="39" t="str">
        <x:v>HOLD</x:v>
      </x:c>
      <x:c r="N20" s="39" t="str">
        <x:v>Strong niche franchise</x:v>
      </x:c>
      <x:c r="O20" s="39" t="str">
        <x:v>Existing Master IN / current P1</x:v>
      </x:c>
      <x:c r="P20" s="39" t="str">
        <x:v>Master 50 IN</x:v>
      </x:c>
      <x:c r="Q20" s="39" t="str">
        <x:v>portfolio_export (14).csv</x:v>
      </x:c>
    </x:row>
    <x:row r="21">
      <x:c r="A21" s="39" t="n">
        <x:v>17</x:v>
      </x:c>
      <x:c r="B21" s="39" t="str">
        <x:v>BAJAJ-AUTO</x:v>
      </x:c>
      <x:c r="C21" s="49" t="str">
        <x:v>P1</x:v>
      </x:c>
      <x:c r="D21" s="39" t="str">
        <x:v>Auto &amp; Components / EV</x:v>
      </x:c>
      <x:c r="E21" s="39" t="str">
        <x:v>C</x:v>
      </x:c>
      <x:c r="F21" s="39" t="str">
        <x:v>Yes</x:v>
      </x:c>
      <x:c r="G21" s="39" t="str">
        <x:v>Yes</x:v>
      </x:c>
      <x:c r="H21" s="39" t="str"/>
      <x:c r="I21" s="39" t="str">
        <x:v>P1</x:v>
      </x:c>
      <x:c r="J21" s="41" t="str">
        <x:v>10</x:v>
      </x:c>
      <x:c r="K21" s="43" t="str">
        <x:v>27.6</x:v>
      </x:c>
      <x:c r="L21" s="45" t="str">
        <x:v>317893</x:v>
      </x:c>
      <x:c r="M21" s="39" t="str">
        <x:v>BUY</x:v>
      </x:c>
      <x:c r="N21" s="39" t="str">
        <x:v>Established auto franchise</x:v>
      </x:c>
      <x:c r="O21" s="39" t="str">
        <x:v>Existing Master IN / current P1</x:v>
      </x:c>
      <x:c r="P21" s="39" t="str">
        <x:v>Master 50 IN</x:v>
      </x:c>
      <x:c r="Q21" s="39" t="str">
        <x:v>portfolio_export (14).csv</x:v>
      </x:c>
    </x:row>
    <x:row r="22">
      <x:c r="A22" s="39" t="n">
        <x:v>18</x:v>
      </x:c>
      <x:c r="B22" s="39" t="str">
        <x:v>HEROMOTOCO</x:v>
      </x:c>
      <x:c r="C22" s="49" t="str">
        <x:v>P1</x:v>
      </x:c>
      <x:c r="D22" s="39" t="str">
        <x:v>Auto &amp; Components / EV</x:v>
      </x:c>
      <x:c r="E22" s="39" t="str">
        <x:v>C</x:v>
      </x:c>
      <x:c r="F22" s="39" t="str">
        <x:v>Yes</x:v>
      </x:c>
      <x:c r="G22" s="39" t="str">
        <x:v>Yes</x:v>
      </x:c>
      <x:c r="H22" s="39" t="str"/>
      <x:c r="I22" s="39" t="str">
        <x:v>P1</x:v>
      </x:c>
      <x:c r="J22" s="41" t="str">
        <x:v>3</x:v>
      </x:c>
      <x:c r="K22" s="43" t="str">
        <x:v>19.2</x:v>
      </x:c>
      <x:c r="L22" s="45" t="str">
        <x:v>105032</x:v>
      </x:c>
      <x:c r="M22" s="39" t="str">
        <x:v>BUY</x:v>
      </x:c>
      <x:c r="N22" s="39" t="str">
        <x:v>Strong two-wheeler franchise</x:v>
      </x:c>
      <x:c r="O22" s="39" t="str">
        <x:v>Existing Master IN / current P1</x:v>
      </x:c>
      <x:c r="P22" s="39" t="str">
        <x:v>Master 50 IN</x:v>
      </x:c>
      <x:c r="Q22" s="39" t="str">
        <x:v>portfolio_export (14).csv</x:v>
      </x:c>
    </x:row>
    <x:row r="23">
      <x:c r="A23" s="39" t="n">
        <x:v>19</x:v>
      </x:c>
      <x:c r="B23" s="39" t="str">
        <x:v>TVSMOTOR</x:v>
      </x:c>
      <x:c r="C23" s="49" t="str">
        <x:v>P1</x:v>
      </x:c>
      <x:c r="D23" s="39" t="str">
        <x:v>Auto &amp; Components / EV</x:v>
      </x:c>
      <x:c r="E23" s="39" t="str">
        <x:v>—</x:v>
      </x:c>
      <x:c r="F23" s="39" t="str">
        <x:v>Yes</x:v>
      </x:c>
      <x:c r="G23" s="39" t="str"/>
      <x:c r="H23" s="39" t="str"/>
      <x:c r="I23" s="39" t="str">
        <x:v>P1</x:v>
      </x:c>
      <x:c r="J23" s="41" t="str">
        <x:v>3</x:v>
      </x:c>
      <x:c r="K23" s="43" t="str">
        <x:v>55.9</x:v>
      </x:c>
      <x:c r="L23" s="45" t="str">
        <x:v>192646</x:v>
      </x:c>
      <x:c r="M23" s="39" t="str">
        <x:v>HOLD</x:v>
      </x:c>
      <x:c r="N23" s="39" t="str">
        <x:v>Growth-oriented auto exposure</x:v>
      </x:c>
      <x:c r="O23" s="39" t="str">
        <x:v>Existing Master IN / current P1</x:v>
      </x:c>
      <x:c r="P23" s="39" t="str">
        <x:v>Master 50 IN</x:v>
      </x:c>
      <x:c r="Q23" s="39" t="str">
        <x:v>portfolio_export (14).csv</x:v>
      </x:c>
    </x:row>
    <x:row r="24">
      <x:c r="A24" s="39" t="n">
        <x:v>20</x:v>
      </x:c>
      <x:c r="B24" s="39" t="str">
        <x:v>UNOMINDA</x:v>
      </x:c>
      <x:c r="C24" s="49" t="str">
        <x:v>P1</x:v>
      </x:c>
      <x:c r="D24" s="39" t="str">
        <x:v>Auto &amp; Components / EV</x:v>
      </x:c>
      <x:c r="E24" s="39" t="str">
        <x:v>—</x:v>
      </x:c>
      <x:c r="F24" s="39" t="str">
        <x:v>Yes</x:v>
      </x:c>
      <x:c r="G24" s="39" t="str"/>
      <x:c r="H24" s="39" t="str"/>
      <x:c r="I24" s="39" t="str">
        <x:v>P1</x:v>
      </x:c>
      <x:c r="J24" s="41" t="str">
        <x:v>2</x:v>
      </x:c>
      <x:c r="K24" s="43" t="str">
        <x:v>0.0</x:v>
      </x:c>
      <x:c r="L24" s="45" t="str">
        <x:v>66969</x:v>
      </x:c>
      <x:c r="M24" s="39" t="str">
        <x:v>HOLD</x:v>
      </x:c>
      <x:c r="N24" s="39" t="str">
        <x:v>Auto-component growth</x:v>
      </x:c>
      <x:c r="O24" s="39" t="str">
        <x:v>Existing Master IN / current P1</x:v>
      </x:c>
      <x:c r="P24" s="39" t="str">
        <x:v>Master 50 IN</x:v>
      </x:c>
      <x:c r="Q24" s="39" t="str">
        <x:v>portfolio_export (14).csv</x:v>
      </x:c>
    </x:row>
    <x:row r="25">
      <x:c r="A25" s="39" t="n">
        <x:v>21</x:v>
      </x:c>
      <x:c r="B25" s="39" t="str">
        <x:v>BALKRISIND</x:v>
      </x:c>
      <x:c r="C25" s="49" t="str">
        <x:v>P1</x:v>
      </x:c>
      <x:c r="D25" s="39" t="str">
        <x:v>Auto &amp; Components / EV</x:v>
      </x:c>
      <x:c r="E25" s="39" t="str">
        <x:v>—</x:v>
      </x:c>
      <x:c r="F25" s="39" t="str">
        <x:v>Yes</x:v>
      </x:c>
      <x:c r="G25" s="39" t="str"/>
      <x:c r="H25" s="39" t="str"/>
      <x:c r="I25" s="39" t="str">
        <x:v>P1</x:v>
      </x:c>
      <x:c r="J25" s="41" t="str">
        <x:v>5</x:v>
      </x:c>
      <x:c r="K25" s="43" t="str">
        <x:v>29.0</x:v>
      </x:c>
      <x:c r="L25" s="45" t="str">
        <x:v>41152</x:v>
      </x:c>
      <x:c r="M25" s="39" t="str">
        <x:v>BUY</x:v>
      </x:c>
      <x:c r="N25" s="39" t="str">
        <x:v>Specialty tyre franchise</x:v>
      </x:c>
      <x:c r="O25" s="39" t="str">
        <x:v>Existing Master IN / current P1</x:v>
      </x:c>
      <x:c r="P25" s="39" t="str">
        <x:v>Master 50 IN</x:v>
      </x:c>
      <x:c r="Q25" s="39" t="str">
        <x:v>portfolio_export (14).csv</x:v>
      </x:c>
    </x:row>
    <x:row r="26">
      <x:c r="A26" s="39" t="n">
        <x:v>22</x:v>
      </x:c>
      <x:c r="B26" s="39" t="str">
        <x:v>DIXON</x:v>
      </x:c>
      <x:c r="C26" s="49" t="str">
        <x:v>P1</x:v>
      </x:c>
      <x:c r="D26" s="39" t="str">
        <x:v>Electronics / EMS</x:v>
      </x:c>
      <x:c r="E26" s="39" t="str">
        <x:v>C+M</x:v>
      </x:c>
      <x:c r="F26" s="39" t="str">
        <x:v>Yes</x:v>
      </x:c>
      <x:c r="G26" s="39" t="str">
        <x:v>Yes</x:v>
      </x:c>
      <x:c r="H26" s="39" t="str">
        <x:v>Yes</x:v>
      </x:c>
      <x:c r="I26" s="39" t="str">
        <x:v>P1</x:v>
      </x:c>
      <x:c r="J26" s="41" t="str">
        <x:v>4</x:v>
      </x:c>
      <x:c r="K26" s="43" t="str">
        <x:v>39.3</x:v>
      </x:c>
      <x:c r="L26" s="45" t="str">
        <x:v>79686</x:v>
      </x:c>
      <x:c r="M26" s="39" t="str">
        <x:v>BUY</x:v>
      </x:c>
      <x:c r="N26" s="39" t="str">
        <x:v>Strong EMS/electronics growth</x:v>
      </x:c>
      <x:c r="O26" s="39" t="str">
        <x:v>Existing Master IN / current P1</x:v>
      </x:c>
      <x:c r="P26" s="39" t="str">
        <x:v>Master 50 IN</x:v>
      </x:c>
      <x:c r="Q26" s="39" t="str">
        <x:v>portfolio_export (14).csv</x:v>
      </x:c>
    </x:row>
    <x:row r="27">
      <x:c r="A27" s="39" t="n">
        <x:v>23</x:v>
      </x:c>
      <x:c r="B27" s="39" t="str">
        <x:v>SYRMA</x:v>
      </x:c>
      <x:c r="C27" s="49" t="str">
        <x:v>P1</x:v>
      </x:c>
      <x:c r="D27" s="39" t="str">
        <x:v>Electronics / EMS</x:v>
      </x:c>
      <x:c r="E27" s="39" t="str">
        <x:v>—</x:v>
      </x:c>
      <x:c r="F27" s="39" t="str">
        <x:v>Yes</x:v>
      </x:c>
      <x:c r="G27" s="39" t="str"/>
      <x:c r="H27" s="39" t="str"/>
      <x:c r="I27" s="39" t="str">
        <x:v>P1</x:v>
      </x:c>
      <x:c r="J27" s="41" t="str">
        <x:v>7</x:v>
      </x:c>
      <x:c r="K27" s="43" t="str">
        <x:v>78.8</x:v>
      </x:c>
      <x:c r="L27" s="45" t="str">
        <x:v>26957</x:v>
      </x:c>
      <x:c r="M27" s="39" t="str">
        <x:v>HOLD</x:v>
      </x:c>
      <x:c r="N27" s="39" t="str">
        <x:v>EMS/electronics growth exposure</x:v>
      </x:c>
      <x:c r="O27" s="39" t="str">
        <x:v>Existing Master IN / current P1</x:v>
      </x:c>
      <x:c r="P27" s="39" t="str">
        <x:v>Master 50 IN</x:v>
      </x:c>
      <x:c r="Q27" s="39" t="str">
        <x:v>portfolio_export (14).csv</x:v>
      </x:c>
    </x:row>
    <x:row r="28">
      <x:c r="A28" s="39" t="n">
        <x:v>24</x:v>
      </x:c>
      <x:c r="B28" s="39" t="str">
        <x:v>CDSL</x:v>
      </x:c>
      <x:c r="C28" s="49" t="str">
        <x:v>P1</x:v>
      </x:c>
      <x:c r="D28" s="39" t="str">
        <x:v>Financial Services</x:v>
      </x:c>
      <x:c r="E28" s="39" t="str">
        <x:v>C+M</x:v>
      </x:c>
      <x:c r="F28" s="39" t="str">
        <x:v>Yes</x:v>
      </x:c>
      <x:c r="G28" s="39" t="str">
        <x:v>Yes</x:v>
      </x:c>
      <x:c r="H28" s="39" t="str">
        <x:v>Yes</x:v>
      </x:c>
      <x:c r="I28" s="39" t="str">
        <x:v>P1</x:v>
      </x:c>
      <x:c r="J28" s="41" t="str">
        <x:v>2</x:v>
      </x:c>
      <x:c r="K28" s="43" t="str">
        <x:v>57.6</x:v>
      </x:c>
      <x:c r="L28" s="45" t="str">
        <x:v>27149</x:v>
      </x:c>
      <x:c r="M28" s="39" t="str">
        <x:v>HOLD</x:v>
      </x:c>
      <x:c r="N28" s="39" t="str">
        <x:v>Financial-market infrastructure growth</x:v>
      </x:c>
      <x:c r="O28" s="39" t="str">
        <x:v>Existing Master IN / current P1</x:v>
      </x:c>
      <x:c r="P28" s="39" t="str">
        <x:v>Master 50 IN</x:v>
      </x:c>
      <x:c r="Q28" s="39" t="str">
        <x:v>portfolio_export (14).csv</x:v>
      </x:c>
    </x:row>
    <x:row r="29">
      <x:c r="A29" s="39" t="n">
        <x:v>25</x:v>
      </x:c>
      <x:c r="B29" s="39" t="str">
        <x:v>BLS INTERNATIONAL</x:v>
      </x:c>
      <x:c r="C29" s="49" t="str">
        <x:v>P1</x:v>
      </x:c>
      <x:c r="D29" s="39" t="str">
        <x:v>Business Services</x:v>
      </x:c>
      <x:c r="E29" s="39" t="str">
        <x:v>C+M</x:v>
      </x:c>
      <x:c r="F29" s="39" t="str">
        <x:v>Yes</x:v>
      </x:c>
      <x:c r="G29" s="39" t="str">
        <x:v>Yes</x:v>
      </x:c>
      <x:c r="H29" s="39" t="str">
        <x:v>Yes</x:v>
      </x:c>
      <x:c r="I29" s="39" t="str">
        <x:v>P1</x:v>
      </x:c>
      <x:c r="J29" s="41" t="str">
        <x:v>7</x:v>
      </x:c>
      <x:c r="K29" s="43" t="str">
        <x:v>13.3</x:v>
      </x:c>
      <x:c r="L29" s="45" t="str">
        <x:v>9378</x:v>
      </x:c>
      <x:c r="M29" s="39" t="str">
        <x:v>HOLD</x:v>
      </x:c>
      <x:c r="N29" s="39" t="str">
        <x:v>Strong growth, cash flow and valuation profile</x:v>
      </x:c>
      <x:c r="O29" s="39" t="str">
        <x:v>Existing Master IN / current P1</x:v>
      </x:c>
      <x:c r="P29" s="39" t="str">
        <x:v>Master 50 IN</x:v>
      </x:c>
      <x:c r="Q29" s="39" t="str">
        <x:v>portfolio_export (14).csv</x:v>
      </x:c>
    </x:row>
    <x:row r="30">
      <x:c r="A30" s="39" t="n">
        <x:v>26</x:v>
      </x:c>
      <x:c r="B30" s="39" t="str">
        <x:v>CGPOWER</x:v>
      </x:c>
      <x:c r="C30" s="49" t="str">
        <x:v>P1</x:v>
      </x:c>
      <x:c r="D30" s="39" t="str">
        <x:v>Industrial / Capital Goods</x:v>
      </x:c>
      <x:c r="E30" s="39" t="str">
        <x:v>C</x:v>
      </x:c>
      <x:c r="F30" s="39" t="str">
        <x:v>Yes</x:v>
      </x:c>
      <x:c r="G30" s="39" t="str">
        <x:v>Yes</x:v>
      </x:c>
      <x:c r="H30" s="39" t="str"/>
      <x:c r="I30" s="39" t="str">
        <x:v>P1</x:v>
      </x:c>
      <x:c r="J30" s="41" t="str">
        <x:v>1</x:v>
      </x:c>
      <x:c r="K30" s="43" t="str">
        <x:v>107.2</x:v>
      </x:c>
      <x:c r="L30" s="45" t="str">
        <x:v>135331</x:v>
      </x:c>
      <x:c r="M30" s="39" t="str">
        <x:v>HOLD</x:v>
      </x:c>
      <x:c r="N30" s="39" t="str">
        <x:v>Electrical/electronics growth</x:v>
      </x:c>
      <x:c r="O30" s="39" t="str">
        <x:v>Existing Master IN / current P1</x:v>
      </x:c>
      <x:c r="P30" s="39" t="str">
        <x:v>Master 50 IN</x:v>
      </x:c>
      <x:c r="Q30" s="39" t="str">
        <x:v>portfolio_export (14).csv</x:v>
      </x:c>
    </x:row>
    <x:row r="31">
      <x:c r="A31" s="39" t="n">
        <x:v>27</x:v>
      </x:c>
      <x:c r="B31" s="39" t="str">
        <x:v>GVT&amp;D</x:v>
      </x:c>
      <x:c r="C31" s="49" t="str">
        <x:v>P1</x:v>
      </x:c>
      <x:c r="D31" s="39" t="str">
        <x:v>Industrial / Capital Goods</x:v>
      </x:c>
      <x:c r="E31" s="39" t="str">
        <x:v>C</x:v>
      </x:c>
      <x:c r="F31" s="39" t="str">
        <x:v>Yes</x:v>
      </x:c>
      <x:c r="G31" s="39" t="str">
        <x:v>Yes</x:v>
      </x:c>
      <x:c r="H31" s="39" t="str"/>
      <x:c r="I31" s="39" t="str">
        <x:v>P1</x:v>
      </x:c>
      <x:c r="J31" s="41" t="str">
        <x:v>1</x:v>
      </x:c>
      <x:c r="K31" s="43" t="str">
        <x:v>0.0</x:v>
      </x:c>
      <x:c r="L31" s="45" t="str">
        <x:v>108740</x:v>
      </x:c>
      <x:c r="M31" s="39" t="str">
        <x:v>HOLD</x:v>
      </x:c>
      <x:c r="N31" s="39" t="str">
        <x:v>Grid/transmission exposure</x:v>
      </x:c>
      <x:c r="O31" s="39" t="str">
        <x:v>Existing Master IN / current P1</x:v>
      </x:c>
      <x:c r="P31" s="39" t="str">
        <x:v>Master 50 IN</x:v>
      </x:c>
      <x:c r="Q31" s="39" t="str">
        <x:v>portfolio_export (14).csv</x:v>
      </x:c>
    </x:row>
    <x:row r="32">
      <x:c r="A32" s="39" t="n">
        <x:v>28</x:v>
      </x:c>
      <x:c r="B32" s="39" t="str">
        <x:v>TRITURBINE</x:v>
      </x:c>
      <x:c r="C32" s="49" t="str">
        <x:v>P1</x:v>
      </x:c>
      <x:c r="D32" s="39" t="str">
        <x:v>Industrial / Capital Goods</x:v>
      </x:c>
      <x:c r="E32" s="39" t="str">
        <x:v>C</x:v>
      </x:c>
      <x:c r="F32" s="39" t="str">
        <x:v>Yes</x:v>
      </x:c>
      <x:c r="G32" s="39" t="str">
        <x:v>Yes</x:v>
      </x:c>
      <x:c r="H32" s="39" t="str"/>
      <x:c r="I32" s="39" t="str">
        <x:v>P1</x:v>
      </x:c>
      <x:c r="J32" s="41" t="str">
        <x:v>1</x:v>
      </x:c>
      <x:c r="K32" s="43" t="str">
        <x:v>51.2</x:v>
      </x:c>
      <x:c r="L32" s="45" t="str">
        <x:v>17181</x:v>
      </x:c>
      <x:c r="M32" s="39" t="str">
        <x:v>HOLD</x:v>
      </x:c>
      <x:c r="N32" s="39" t="str">
        <x:v>Industrial energy-efficiency theme</x:v>
      </x:c>
      <x:c r="O32" s="39" t="str">
        <x:v>Existing Master IN / current P1</x:v>
      </x:c>
      <x:c r="P32" s="39" t="str">
        <x:v>Master 50 IN</x:v>
      </x:c>
      <x:c r="Q32" s="39" t="str">
        <x:v>portfolio_export (14).csv</x:v>
      </x:c>
    </x:row>
    <x:row r="33">
      <x:c r="A33" s="39" t="n">
        <x:v>29</x:v>
      </x:c>
      <x:c r="B33" s="39" t="str">
        <x:v>WAAREE RENEWABLES</x:v>
      </x:c>
      <x:c r="C33" s="49" t="str">
        <x:v>P1</x:v>
      </x:c>
      <x:c r="D33" s="39" t="str">
        <x:v>Energy / Utilities</x:v>
      </x:c>
      <x:c r="E33" s="39" t="str">
        <x:v>M</x:v>
      </x:c>
      <x:c r="F33" s="39" t="str">
        <x:v>Yes</x:v>
      </x:c>
      <x:c r="G33" s="39" t="str"/>
      <x:c r="H33" s="39" t="str">
        <x:v>Yes</x:v>
      </x:c>
      <x:c r="I33" s="39" t="str">
        <x:v>P1</x:v>
      </x:c>
      <x:c r="J33" s="41" t="str">
        <x:v>16</x:v>
      </x:c>
      <x:c r="K33" s="43" t="str">
        <x:v>16.5</x:v>
      </x:c>
      <x:c r="L33" s="45" t="str">
        <x:v>8403</x:v>
      </x:c>
      <x:c r="M33" s="39" t="str">
        <x:v>HOLD</x:v>
      </x:c>
      <x:c r="N33" s="39" t="str">
        <x:v>High-growth renewable-energy exposure</x:v>
      </x:c>
      <x:c r="O33" s="39" t="str">
        <x:v>Existing Master IN / current P1</x:v>
      </x:c>
      <x:c r="P33" s="39" t="str">
        <x:v>Master 50 IN</x:v>
      </x:c>
      <x:c r="Q33" s="39" t="str">
        <x:v>portfolio_export (14).csv</x:v>
      </x:c>
    </x:row>
    <x:row r="34">
      <x:c r="A34" s="39" t="n">
        <x:v>30</x:v>
      </x:c>
      <x:c r="B34" s="39" t="str">
        <x:v>HBLENGINE</x:v>
      </x:c>
      <x:c r="C34" s="49" t="str">
        <x:v>P1</x:v>
      </x:c>
      <x:c r="D34" s="39" t="str">
        <x:v>Industrial / Capital Goods</x:v>
      </x:c>
      <x:c r="E34" s="39" t="str">
        <x:v>C</x:v>
      </x:c>
      <x:c r="F34" s="39" t="str">
        <x:v>Yes</x:v>
      </x:c>
      <x:c r="G34" s="39" t="str">
        <x:v>Yes</x:v>
      </x:c>
      <x:c r="H34" s="39" t="str"/>
      <x:c r="I34" s="39" t="str">
        <x:v>P1</x:v>
      </x:c>
      <x:c r="J34" s="41" t="str">
        <x:v>6</x:v>
      </x:c>
      <x:c r="K34" s="43" t="str">
        <x:v>25.0</x:v>
      </x:c>
      <x:c r="L34" s="45" t="str">
        <x:v>19506</x:v>
      </x:c>
      <x:c r="M34" s="39" t="str">
        <x:v>HOLD</x:v>
      </x:c>
      <x:c r="N34" s="39" t="str">
        <x:v>Energy-storage/industrial technology</x:v>
      </x:c>
      <x:c r="O34" s="39" t="str">
        <x:v>Existing Master IN / current P1</x:v>
      </x:c>
      <x:c r="P34" s="39" t="str">
        <x:v>Master 50 IN</x:v>
      </x:c>
      <x:c r="Q34" s="39" t="str">
        <x:v>portfolio_export (14).csv</x:v>
      </x:c>
    </x:row>
    <x:row r="35">
      <x:c r="A35" s="39" t="n">
        <x:v>31</x:v>
      </x:c>
      <x:c r="B35" s="39" t="str">
        <x:v>COALINDIA</x:v>
      </x:c>
      <x:c r="C35" s="49" t="str">
        <x:v>P1</x:v>
      </x:c>
      <x:c r="D35" s="39" t="str">
        <x:v>Energy / Utilities</x:v>
      </x:c>
      <x:c r="E35" s="39" t="str">
        <x:v>—</x:v>
      </x:c>
      <x:c r="F35" s="39" t="str">
        <x:v>Yes</x:v>
      </x:c>
      <x:c r="G35" s="39" t="str"/>
      <x:c r="H35" s="39" t="str"/>
      <x:c r="I35" s="39" t="str">
        <x:v>P1</x:v>
      </x:c>
      <x:c r="J35" s="41" t="str">
        <x:v>112</x:v>
      </x:c>
      <x:c r="K35" s="43" t="str">
        <x:v>8.3</x:v>
      </x:c>
      <x:c r="L35" s="45" t="str">
        <x:v>259940</x:v>
      </x:c>
      <x:c r="M35" s="39" t="str">
        <x:v>BUY</x:v>
      </x:c>
      <x:c r="N35" s="39" t="str">
        <x:v>Strong cash generation and valuation support</x:v>
      </x:c>
      <x:c r="O35" s="39" t="str">
        <x:v>Existing Master IN / current P1</x:v>
      </x:c>
      <x:c r="P35" s="39" t="str">
        <x:v>Master 50 IN</x:v>
      </x:c>
      <x:c r="Q35" s="39" t="str">
        <x:v>portfolio_export (14).csv</x:v>
      </x:c>
    </x:row>
    <x:row r="36">
      <x:c r="A36" s="39" t="n">
        <x:v>32</x:v>
      </x:c>
      <x:c r="B36" s="39" t="str">
        <x:v>ONGC</x:v>
      </x:c>
      <x:c r="C36" s="49" t="str">
        <x:v>P1</x:v>
      </x:c>
      <x:c r="D36" s="39" t="str">
        <x:v>Energy / Utilities</x:v>
      </x:c>
      <x:c r="E36" s="39" t="str">
        <x:v>—</x:v>
      </x:c>
      <x:c r="F36" s="39" t="str">
        <x:v>Yes</x:v>
      </x:c>
      <x:c r="G36" s="39" t="str"/>
      <x:c r="H36" s="39" t="str"/>
      <x:c r="I36" s="39" t="str">
        <x:v>P1</x:v>
      </x:c>
      <x:c r="J36" s="41" t="str">
        <x:v>50</x:v>
      </x:c>
      <x:c r="K36" s="43" t="str">
        <x:v>6.8</x:v>
      </x:c>
      <x:c r="L36" s="45" t="str">
        <x:v>297637</x:v>
      </x:c>
      <x:c r="M36" s="39" t="str">
        <x:v>BUY</x:v>
      </x:c>
      <x:c r="N36" s="39" t="str">
        <x:v>Energy diversification</x:v>
      </x:c>
      <x:c r="O36" s="39" t="str">
        <x:v>Existing Master IN / current P1</x:v>
      </x:c>
      <x:c r="P36" s="39" t="str">
        <x:v>Master 50 IN</x:v>
      </x:c>
      <x:c r="Q36" s="39" t="str">
        <x:v>portfolio_export (14).csv</x:v>
      </x:c>
    </x:row>
    <x:row r="37">
      <x:c r="A37" s="39" t="n">
        <x:v>33</x:v>
      </x:c>
      <x:c r="B37" s="39" t="str">
        <x:v>CANARA ROBECO AMC</x:v>
      </x:c>
      <x:c r="C37" s="49" t="str">
        <x:v>P1</x:v>
      </x:c>
      <x:c r="D37" s="39" t="str">
        <x:v>Financial Services</x:v>
      </x:c>
      <x:c r="E37" s="39" t="str">
        <x:v>M</x:v>
      </x:c>
      <x:c r="F37" s="39" t="str">
        <x:v>Yes</x:v>
      </x:c>
      <x:c r="G37" s="39" t="str"/>
      <x:c r="H37" s="39" t="str">
        <x:v>Yes</x:v>
      </x:c>
      <x:c r="I37" s="39" t="str">
        <x:v>P1</x:v>
      </x:c>
      <x:c r="J37" s="41" t="str">
        <x:v>1</x:v>
      </x:c>
      <x:c r="K37" s="43" t="str">
        <x:v>21.0</x:v>
      </x:c>
      <x:c r="L37" s="45" t="str">
        <x:v>4575</x:v>
      </x:c>
      <x:c r="M37" s="39" t="str"/>
      <x:c r="N37" s="39" t="str">
        <x:v>Strong quantitative growth/quality profile</x:v>
      </x:c>
      <x:c r="O37" s="39" t="str">
        <x:v>Existing Master IN / current P1</x:v>
      </x:c>
      <x:c r="P37" s="39" t="str">
        <x:v>Master 50 IN</x:v>
      </x:c>
      <x:c r="Q37" s="39" t="str">
        <x:v>portfolio_export (14).csv</x:v>
      </x:c>
    </x:row>
    <x:row r="38">
      <x:c r="A38" s="39" t="n">
        <x:v>34</x:v>
      </x:c>
      <x:c r="B38" s="39" t="str">
        <x:v>MCX</x:v>
      </x:c>
      <x:c r="C38" s="49" t="str">
        <x:v>P1</x:v>
      </x:c>
      <x:c r="D38" s="39" t="str">
        <x:v>Financial Services</x:v>
      </x:c>
      <x:c r="E38" s="39" t="str">
        <x:v>C+M</x:v>
      </x:c>
      <x:c r="F38" s="39" t="str"/>
      <x:c r="G38" s="39" t="str">
        <x:v>Yes</x:v>
      </x:c>
      <x:c r="H38" s="39" t="str">
        <x:v>Yes</x:v>
      </x:c>
      <x:c r="I38" s="39" t="str"/>
      <x:c r="J38" s="41" t="str">
        <x:v>0</x:v>
      </x:c>
      <x:c r="K38" s="43" t="str">
        <x:v>59.2</x:v>
      </x:c>
      <x:c r="L38" s="45" t="str">
        <x:v>81644</x:v>
      </x:c>
      <x:c r="M38" s="39" t="str">
        <x:v>HOLD</x:v>
      </x:c>
      <x:c r="N38" s="39" t="str">
        <x:v>Exchange/platform business</x:v>
      </x:c>
      <x:c r="O38" s="39" t="str">
        <x:v>Existing Master IN; C-priority P1</x:v>
      </x:c>
      <x:c r="P38" s="39" t="str">
        <x:v>Master 50 IN</x:v>
      </x:c>
      <x:c r="Q38" s="39" t="str">
        <x:v>portfolio_export (14).csv</x:v>
      </x:c>
    </x:row>
    <x:row r="39">
      <x:c r="A39" s="39" t="n">
        <x:v>35</x:v>
      </x:c>
      <x:c r="B39" s="39" t="str">
        <x:v>HAL</x:v>
      </x:c>
      <x:c r="C39" s="49" t="str">
        <x:v>P1</x:v>
      </x:c>
      <x:c r="D39" s="39" t="str">
        <x:v>Defence / Aerospace</x:v>
      </x:c>
      <x:c r="E39" s="39" t="str">
        <x:v>C</x:v>
      </x:c>
      <x:c r="F39" s="39" t="str"/>
      <x:c r="G39" s="39" t="str">
        <x:v>Yes</x:v>
      </x:c>
      <x:c r="H39" s="39" t="str"/>
      <x:c r="I39" s="39" t="str"/>
      <x:c r="J39" s="41" t="str">
        <x:v>0</x:v>
      </x:c>
      <x:c r="K39" s="43" t="str">
        <x:v>33.7</x:v>
      </x:c>
      <x:c r="L39" s="45" t="str">
        <x:v>314895</x:v>
      </x:c>
      <x:c r="M39" s="39" t="str">
        <x:v>BUY</x:v>
      </x:c>
      <x:c r="N39" s="39" t="str">
        <x:v>Defence aerospace exposure</x:v>
      </x:c>
      <x:c r="O39" s="39" t="str">
        <x:v>Existing Master IN; C-priority P1</x:v>
      </x:c>
      <x:c r="P39" s="39" t="str">
        <x:v>Master 50 IN</x:v>
      </x:c>
      <x:c r="Q39" s="39" t="str">
        <x:v>portfolio_export (14).csv</x:v>
      </x:c>
    </x:row>
    <x:row r="40">
      <x:c r="A40" s="39" t="n">
        <x:v>36</x:v>
      </x:c>
      <x:c r="B40" s="39" t="str">
        <x:v>BEL</x:v>
      </x:c>
      <x:c r="C40" s="49" t="str">
        <x:v>P1</x:v>
      </x:c>
      <x:c r="D40" s="39" t="str">
        <x:v>Defence / Aerospace</x:v>
      </x:c>
      <x:c r="E40" s="39" t="str">
        <x:v>C</x:v>
      </x:c>
      <x:c r="F40" s="39" t="str"/>
      <x:c r="G40" s="39" t="str">
        <x:v>Yes</x:v>
      </x:c>
      <x:c r="H40" s="39" t="str"/>
      <x:c r="I40" s="39" t="str"/>
      <x:c r="J40" s="41" t="str">
        <x:v>0</x:v>
      </x:c>
      <x:c r="K40" s="43" t="str">
        <x:v>45.9</x:v>
      </x:c>
      <x:c r="L40" s="45" t="str">
        <x:v>282450</x:v>
      </x:c>
      <x:c r="M40" s="39" t="str">
        <x:v>HOLD</x:v>
      </x:c>
      <x:c r="N40" s="39" t="str">
        <x:v>Defence electronics</x:v>
      </x:c>
      <x:c r="O40" s="39" t="str">
        <x:v>Existing Master IN; C-priority P1</x:v>
      </x:c>
      <x:c r="P40" s="39" t="str">
        <x:v>Master 50 IN</x:v>
      </x:c>
      <x:c r="Q40" s="39" t="str">
        <x:v>portfolio_export (14).csv</x:v>
      </x:c>
    </x:row>
    <x:row r="41">
      <x:c r="A41" s="39" t="n">
        <x:v>37</x:v>
      </x:c>
      <x:c r="B41" s="39" t="str">
        <x:v>SIEMENS</x:v>
      </x:c>
      <x:c r="C41" s="49" t="str">
        <x:v>P1</x:v>
      </x:c>
      <x:c r="D41" s="39" t="str">
        <x:v>Industrial / Capital Goods</x:v>
      </x:c>
      <x:c r="E41" s="39" t="str">
        <x:v>C</x:v>
      </x:c>
      <x:c r="F41" s="39" t="str"/>
      <x:c r="G41" s="39" t="str">
        <x:v>Yes</x:v>
      </x:c>
      <x:c r="H41" s="39" t="str"/>
      <x:c r="I41" s="39" t="str"/>
      <x:c r="J41" s="41" t="str">
        <x:v>0</x:v>
      </x:c>
      <x:c r="K41" s="43" t="str">
        <x:v>40.7</x:v>
      </x:c>
      <x:c r="L41" s="45" t="str">
        <x:v>133299</x:v>
      </x:c>
      <x:c r="M41" s="39" t="str">
        <x:v>BUY</x:v>
      </x:c>
      <x:c r="N41" s="39" t="str">
        <x:v>Industrial automation/infrastructure</x:v>
      </x:c>
      <x:c r="O41" s="39" t="str">
        <x:v>Existing Master IN; C-priority P1</x:v>
      </x:c>
      <x:c r="P41" s="39" t="str">
        <x:v>Master 50 IN</x:v>
      </x:c>
      <x:c r="Q41" s="39" t="str">
        <x:v>portfolio_export (14).csv</x:v>
      </x:c>
    </x:row>
    <x:row r="42">
      <x:c r="A42" s="39" t="n">
        <x:v>38</x:v>
      </x:c>
      <x:c r="B42" s="39" t="str">
        <x:v>ABB</x:v>
      </x:c>
      <x:c r="C42" s="49" t="str">
        <x:v>P1</x:v>
      </x:c>
      <x:c r="D42" s="39" t="str">
        <x:v>Industrial / Capital Goods</x:v>
      </x:c>
      <x:c r="E42" s="39" t="str">
        <x:v>C</x:v>
      </x:c>
      <x:c r="F42" s="39" t="str"/>
      <x:c r="G42" s="39" t="str">
        <x:v>Yes</x:v>
      </x:c>
      <x:c r="H42" s="39" t="str"/>
      <x:c r="I42" s="39" t="str"/>
      <x:c r="J42" s="41" t="str">
        <x:v>0</x:v>
      </x:c>
      <x:c r="K42" s="43" t="str">
        <x:v>49.5</x:v>
      </x:c>
      <x:c r="L42" s="45" t="str">
        <x:v>147957</x:v>
      </x:c>
      <x:c r="M42" s="39" t="str">
        <x:v>HOLD</x:v>
      </x:c>
      <x:c r="N42" s="39" t="str">
        <x:v>Electrification and automation</x:v>
      </x:c>
      <x:c r="O42" s="39" t="str">
        <x:v>Existing Master IN; C-priority P1</x:v>
      </x:c>
      <x:c r="P42" s="39" t="str">
        <x:v>Master 50 IN</x:v>
      </x:c>
      <x:c r="Q42" s="39" t="str">
        <x:v>portfolio_export (14).csv</x:v>
      </x:c>
    </x:row>
    <x:row r="43">
      <x:c r="A43" s="39" t="n">
        <x:v>39</x:v>
      </x:c>
      <x:c r="B43" s="39" t="str">
        <x:v>CUMMINSIND</x:v>
      </x:c>
      <x:c r="C43" s="49" t="str">
        <x:v>P1</x:v>
      </x:c>
      <x:c r="D43" s="39" t="str">
        <x:v>Industrial / Capital Goods</x:v>
      </x:c>
      <x:c r="E43" s="39" t="str">
        <x:v>C</x:v>
      </x:c>
      <x:c r="F43" s="39" t="str"/>
      <x:c r="G43" s="39" t="str">
        <x:v>Yes</x:v>
      </x:c>
      <x:c r="H43" s="39" t="str"/>
      <x:c r="I43" s="39" t="str"/>
      <x:c r="J43" s="41" t="str">
        <x:v>0</x:v>
      </x:c>
      <x:c r="K43" s="43" t="str">
        <x:v>57.9</x:v>
      </x:c>
      <x:c r="L43" s="45" t="str">
        <x:v>136937</x:v>
      </x:c>
      <x:c r="M43" s="39" t="str">
        <x:v>HOLD</x:v>
      </x:c>
      <x:c r="N43" s="39" t="str">
        <x:v>Industrial power-equipment exposure</x:v>
      </x:c>
      <x:c r="O43" s="39" t="str">
        <x:v>Existing Master IN; C-priority P1</x:v>
      </x:c>
      <x:c r="P43" s="39" t="str">
        <x:v>Master 50 IN</x:v>
      </x:c>
      <x:c r="Q43" s="39" t="str">
        <x:v>portfolio_export (14).csv</x:v>
      </x:c>
    </x:row>
    <x:row r="44">
      <x:c r="A44" s="39" t="n">
        <x:v>40</x:v>
      </x:c>
      <x:c r="B44" s="39" t="str">
        <x:v>APARINDS</x:v>
      </x:c>
      <x:c r="C44" s="49" t="str">
        <x:v>P1</x:v>
      </x:c>
      <x:c r="D44" s="39" t="str">
        <x:v>Industrial / Capital Goods</x:v>
      </x:c>
      <x:c r="E44" s="39" t="str">
        <x:v>C</x:v>
      </x:c>
      <x:c r="F44" s="39" t="str"/>
      <x:c r="G44" s="39" t="str">
        <x:v>Yes</x:v>
      </x:c>
      <x:c r="H44" s="39" t="str"/>
      <x:c r="I44" s="39" t="str"/>
      <x:c r="J44" s="41" t="str">
        <x:v>0</x:v>
      </x:c>
      <x:c r="K44" s="43" t="str">
        <x:v>58.2</x:v>
      </x:c>
      <x:c r="L44" s="45" t="str">
        <x:v>71489</x:v>
      </x:c>
      <x:c r="M44" s="39" t="str">
        <x:v>HOLD</x:v>
      </x:c>
      <x:c r="N44" s="39" t="str">
        <x:v>Specialty electrical products</x:v>
      </x:c>
      <x:c r="O44" s="39" t="str">
        <x:v>Existing Master IN; C-priority P1</x:v>
      </x:c>
      <x:c r="P44" s="39" t="str">
        <x:v>Master 50 IN</x:v>
      </x:c>
      <x:c r="Q44" s="39" t="str">
        <x:v>portfolio_export (14).csv</x:v>
      </x:c>
    </x:row>
    <x:row r="45">
      <x:c r="A45" s="39" t="n">
        <x:v>41</x:v>
      </x:c>
      <x:c r="B45" s="39" t="str">
        <x:v>SOLARINDS</x:v>
      </x:c>
      <x:c r="C45" s="49" t="str">
        <x:v>P1</x:v>
      </x:c>
      <x:c r="D45" s="39" t="str">
        <x:v>Defence / Aerospace</x:v>
      </x:c>
      <x:c r="E45" s="39" t="str">
        <x:v>C</x:v>
      </x:c>
      <x:c r="F45" s="39" t="str"/>
      <x:c r="G45" s="39" t="str">
        <x:v>Yes</x:v>
      </x:c>
      <x:c r="H45" s="39" t="str"/>
      <x:c r="I45" s="39" t="str"/>
      <x:c r="J45" s="41" t="str">
        <x:v>0</x:v>
      </x:c>
      <x:c r="K45" s="43" t="str">
        <x:v>85.9</x:v>
      </x:c>
      <x:c r="L45" s="45" t="str">
        <x:v>171125</x:v>
      </x:c>
      <x:c r="M45" s="39" t="str">
        <x:v>HOLD</x:v>
      </x:c>
      <x:c r="N45" s="39" t="str">
        <x:v>Defence/infrastructure-linked explosives business</x:v>
      </x:c>
      <x:c r="O45" s="39" t="str">
        <x:v>Existing Master IN; C-priority P1</x:v>
      </x:c>
      <x:c r="P45" s="39" t="str">
        <x:v>Master 50 IN</x:v>
      </x:c>
      <x:c r="Q45" s="39" t="str">
        <x:v>portfolio_export (14).csv</x:v>
      </x:c>
    </x:row>
    <x:row r="46">
      <x:c r="A46" s="39" t="n">
        <x:v>42</x:v>
      </x:c>
      <x:c r="B46" s="39" t="str">
        <x:v>ATHERENERG</x:v>
      </x:c>
      <x:c r="C46" s="49" t="str">
        <x:v>P1</x:v>
      </x:c>
      <x:c r="D46" s="39" t="str">
        <x:v>Auto &amp; Components / EV</x:v>
      </x:c>
      <x:c r="E46" s="39" t="str">
        <x:v>Conviction</x:v>
      </x:c>
      <x:c r="F46" s="39" t="str">
        <x:v>Yes</x:v>
      </x:c>
      <x:c r="G46" s="39" t="str"/>
      <x:c r="H46" s="39" t="str"/>
      <x:c r="I46" s="39" t="str">
        <x:v>P1</x:v>
      </x:c>
      <x:c r="J46" s="41" t="str">
        <x:v>2</x:v>
      </x:c>
      <x:c r="K46" s="43" t="str">
        <x:v>0.0</x:v>
      </x:c>
      <x:c r="L46" s="45" t="str">
        <x:v>61813</x:v>
      </x:c>
      <x:c r="M46" s="39" t="str">
        <x:v>HOLD</x:v>
      </x:c>
      <x:c r="N46" s="39" t="str">
        <x:v>Small strategic holding but outside final 50</x:v>
      </x:c>
      <x:c r="O46" s="39" t="str">
        <x:v>Protected P1 conviction bet</x:v>
      </x:c>
      <x:c r="P46" s="39" t="str">
        <x:v>Master 50 OUT promoted</x:v>
      </x:c>
      <x:c r="Q46" s="39" t="str">
        <x:v>portfolio_export (14).csv</x:v>
      </x:c>
    </x:row>
    <x:row r="47">
      <x:c r="A47" s="39" t="n">
        <x:v>43</x:v>
      </x:c>
      <x:c r="B47" s="39" t="str">
        <x:v>ASTRAZEN</x:v>
      </x:c>
      <x:c r="C47" s="49" t="str">
        <x:v>P1</x:v>
      </x:c>
      <x:c r="D47" s="39" t="str">
        <x:v>Healthcare / Pharma</x:v>
      </x:c>
      <x:c r="E47" s="39" t="str">
        <x:v>C</x:v>
      </x:c>
      <x:c r="F47" s="39" t="str">
        <x:v>Yes</x:v>
      </x:c>
      <x:c r="G47" s="39" t="str">
        <x:v>Yes</x:v>
      </x:c>
      <x:c r="H47" s="39" t="str"/>
      <x:c r="I47" s="39" t="str">
        <x:v>P1</x:v>
      </x:c>
      <x:c r="J47" s="41" t="str">
        <x:v>1</x:v>
      </x:c>
      <x:c r="K47" s="43" t="str">
        <x:v>98.6</x:v>
      </x:c>
      <x:c r="L47" s="45" t="str">
        <x:v>16725</x:v>
      </x:c>
      <x:c r="M47" s="39" t="str">
        <x:v>HOLD</x:v>
      </x:c>
      <x:c r="N47" s="39" t="str">
        <x:v>Quality company but basket-space constraint</x:v>
      </x:c>
      <x:c r="O47" s="39" t="str">
        <x:v>Promoted from OUT; current P1 + C</x:v>
      </x:c>
      <x:c r="P47" s="39" t="str">
        <x:v>Master 50 OUT promoted</x:v>
      </x:c>
      <x:c r="Q47" s="39" t="str">
        <x:v>portfolio_export (14).csv</x:v>
      </x:c>
    </x:row>
    <x:row r="48">
      <x:c r="A48" s="39" t="n">
        <x:v>44</x:v>
      </x:c>
      <x:c r="B48" s="39" t="str">
        <x:v>HINDZINC</x:v>
      </x:c>
      <x:c r="C48" s="49" t="str">
        <x:v>P1</x:v>
      </x:c>
      <x:c r="D48" s="39" t="str">
        <x:v>Chemicals / Materials</x:v>
      </x:c>
      <x:c r="E48" s="39" t="str">
        <x:v>C</x:v>
      </x:c>
      <x:c r="F48" s="39" t="str">
        <x:v>Yes</x:v>
      </x:c>
      <x:c r="G48" s="39" t="str">
        <x:v>Yes</x:v>
      </x:c>
      <x:c r="H48" s="39" t="str"/>
      <x:c r="I48" s="39" t="str">
        <x:v>P1</x:v>
      </x:c>
      <x:c r="J48" s="41" t="str">
        <x:v>1</x:v>
      </x:c>
      <x:c r="K48" s="43" t="str">
        <x:v>14.1</x:v>
      </x:c>
      <x:c r="L48" s="45" t="str">
        <x:v>236782</x:v>
      </x:c>
      <x:c r="M48" s="39" t="str">
        <x:v>BUY</x:v>
      </x:c>
      <x:c r="N48" s="39" t="str">
        <x:v>Commodity exposure</x:v>
      </x:c>
      <x:c r="O48" s="39" t="str">
        <x:v>Promoted from OUT; current P1 + C</x:v>
      </x:c>
      <x:c r="P48" s="39" t="str">
        <x:v>Master 50 OUT promoted</x:v>
      </x:c>
      <x:c r="Q48" s="39" t="str">
        <x:v>portfolio_export (14).csv</x:v>
      </x:c>
    </x:row>
    <x:row r="49">
      <x:c r="A49" s="39" t="n">
        <x:v>45</x:v>
      </x:c>
      <x:c r="B49" s="39" t="str">
        <x:v>SUNPHARMA</x:v>
      </x:c>
      <x:c r="C49" s="49" t="str">
        <x:v>P1</x:v>
      </x:c>
      <x:c r="D49" s="39" t="str">
        <x:v>Healthcare / Pharma</x:v>
      </x:c>
      <x:c r="E49" s="39" t="str">
        <x:v>C</x:v>
      </x:c>
      <x:c r="F49" s="39" t="str">
        <x:v>Yes</x:v>
      </x:c>
      <x:c r="G49" s="39" t="str">
        <x:v>Yes</x:v>
      </x:c>
      <x:c r="H49" s="39" t="str"/>
      <x:c r="I49" s="39" t="str">
        <x:v>P1</x:v>
      </x:c>
      <x:c r="J49" s="41" t="str">
        <x:v>3</x:v>
      </x:c>
      <x:c r="K49" s="43" t="str">
        <x:v>36.8</x:v>
      </x:c>
      <x:c r="L49" s="45" t="str">
        <x:v>445550</x:v>
      </x:c>
      <x:c r="M49" s="39" t="str">
        <x:v>HOLD</x:v>
      </x:c>
      <x:c r="N49" s="39" t="str">
        <x:v>Pharma exposure not required within the selected 50</x:v>
      </x:c>
      <x:c r="O49" s="39" t="str">
        <x:v>Promoted from OUT; current P1 + C</x:v>
      </x:c>
      <x:c r="P49" s="39" t="str">
        <x:v>Master 50 OUT promoted</x:v>
      </x:c>
      <x:c r="Q49" s="39" t="str">
        <x:v>portfolio_export (14).csv</x:v>
      </x:c>
    </x:row>
    <x:row r="50">
      <x:c r="A50" s="39" t="n">
        <x:v>46</x:v>
      </x:c>
      <x:c r="B50" s="39" t="str">
        <x:v>KOTAKBANK</x:v>
      </x:c>
      <x:c r="C50" s="55" t="str">
        <x:v>P2</x:v>
      </x:c>
      <x:c r="D50" s="39" t="str">
        <x:v>Financial Services</x:v>
      </x:c>
      <x:c r="E50" s="39" t="str">
        <x:v>—</x:v>
      </x:c>
      <x:c r="F50" s="39" t="str">
        <x:v>Yes</x:v>
      </x:c>
      <x:c r="G50" s="39" t="str"/>
      <x:c r="H50" s="39" t="str"/>
      <x:c r="I50" s="39" t="str">
        <x:v>P2</x:v>
      </x:c>
      <x:c r="J50" s="41" t="str">
        <x:v>85</x:v>
      </x:c>
      <x:c r="K50" s="43" t="str">
        <x:v>20.3</x:v>
      </x:c>
      <x:c r="L50" s="45" t="str">
        <x:v>82454</x:v>
      </x:c>
      <x:c r="M50" s="39" t="str">
        <x:v>BUY</x:v>
      </x:c>
      <x:c r="N50" s="39" t="str">
        <x:v>Diversified private-bank exposure</x:v>
      </x:c>
      <x:c r="O50" s="39" t="str">
        <x:v>Existing Master IN / current P2</x:v>
      </x:c>
      <x:c r="P50" s="39" t="str">
        <x:v>Master 50 IN</x:v>
      </x:c>
      <x:c r="Q50" s="39" t="str">
        <x:v>portfolio_export (14).csv</x:v>
      </x:c>
    </x:row>
    <x:row r="51">
      <x:c r="A51" s="39" t="n">
        <x:v>47</x:v>
      </x:c>
      <x:c r="B51" s="39" t="str">
        <x:v>NESTLEIND</x:v>
      </x:c>
      <x:c r="C51" s="55" t="str">
        <x:v>P2</x:v>
      </x:c>
      <x:c r="D51" s="39" t="str">
        <x:v>Consumer / FMCG</x:v>
      </x:c>
      <x:c r="E51" s="39" t="str">
        <x:v>C</x:v>
      </x:c>
      <x:c r="F51" s="39" t="str">
        <x:v>Yes</x:v>
      </x:c>
      <x:c r="G51" s="39" t="str">
        <x:v>Yes</x:v>
      </x:c>
      <x:c r="H51" s="39" t="str"/>
      <x:c r="I51" s="39" t="str">
        <x:v>P2</x:v>
      </x:c>
      <x:c r="J51" s="41" t="str">
        <x:v>42</x:v>
      </x:c>
      <x:c r="K51" s="43" t="str">
        <x:v>70.0</x:v>
      </x:c>
      <x:c r="L51" s="45" t="str">
        <x:v>266975</x:v>
      </x:c>
      <x:c r="M51" s="39" t="str">
        <x:v>HOLD</x:v>
      </x:c>
      <x:c r="N51" s="39" t="str">
        <x:v>Defensive consumer compounder</x:v>
      </x:c>
      <x:c r="O51" s="39" t="str">
        <x:v>Existing Master IN / current P2</x:v>
      </x:c>
      <x:c r="P51" s="39" t="str">
        <x:v>Master 50 IN</x:v>
      </x:c>
      <x:c r="Q51" s="39" t="str">
        <x:v>portfolio_export (14).csv</x:v>
      </x:c>
    </x:row>
    <x:row r="52">
      <x:c r="A52" s="39" t="n">
        <x:v>48</x:v>
      </x:c>
      <x:c r="B52" s="39" t="str">
        <x:v>MARUTI</x:v>
      </x:c>
      <x:c r="C52" s="55" t="str">
        <x:v>P2</x:v>
      </x:c>
      <x:c r="D52" s="39" t="str">
        <x:v>Auto &amp; Components / EV</x:v>
      </x:c>
      <x:c r="E52" s="39" t="str">
        <x:v>C</x:v>
      </x:c>
      <x:c r="F52" s="39" t="str">
        <x:v>Yes</x:v>
      </x:c>
      <x:c r="G52" s="39" t="str">
        <x:v>Yes</x:v>
      </x:c>
      <x:c r="H52" s="39" t="str"/>
      <x:c r="I52" s="39" t="str">
        <x:v>P2</x:v>
      </x:c>
      <x:c r="J52" s="41" t="str">
        <x:v>4</x:v>
      </x:c>
      <x:c r="K52" s="43" t="str">
        <x:v>26.7</x:v>
      </x:c>
      <x:c r="L52" s="45" t="str">
        <x:v>383295</x:v>
      </x:c>
      <x:c r="M52" s="39" t="str">
        <x:v>HOLD</x:v>
      </x:c>
      <x:c r="N52" s="39" t="str">
        <x:v>Passenger-vehicle franchise</x:v>
      </x:c>
      <x:c r="O52" s="39" t="str">
        <x:v>Existing Master IN / current P2</x:v>
      </x:c>
      <x:c r="P52" s="39" t="str">
        <x:v>Master 50 IN</x:v>
      </x:c>
      <x:c r="Q52" s="39" t="str">
        <x:v>portfolio_export (14).csv</x:v>
      </x:c>
    </x:row>
    <x:row r="53">
      <x:c r="A53" s="39" t="n">
        <x:v>49</x:v>
      </x:c>
      <x:c r="B53" s="39" t="str">
        <x:v>M&amp;M</x:v>
      </x:c>
      <x:c r="C53" s="55" t="str">
        <x:v>P2</x:v>
      </x:c>
      <x:c r="D53" s="39" t="str">
        <x:v>Auto &amp; Components / EV</x:v>
      </x:c>
      <x:c r="E53" s="39" t="str">
        <x:v>C</x:v>
      </x:c>
      <x:c r="F53" s="39" t="str">
        <x:v>Yes</x:v>
      </x:c>
      <x:c r="G53" s="39" t="str">
        <x:v>Yes</x:v>
      </x:c>
      <x:c r="H53" s="39" t="str"/>
      <x:c r="I53" s="39" t="str">
        <x:v>P2</x:v>
      </x:c>
      <x:c r="J53" s="41" t="str">
        <x:v>2</x:v>
      </x:c>
      <x:c r="K53" s="43" t="str">
        <x:v>18.7</x:v>
      </x:c>
      <x:c r="L53" s="45" t="str">
        <x:v>365975</x:v>
      </x:c>
      <x:c r="M53" s="39" t="str">
        <x:v>HOLD</x:v>
      </x:c>
      <x:c r="N53" s="39" t="str">
        <x:v>Auto + industrial diversification</x:v>
      </x:c>
      <x:c r="O53" s="39" t="str">
        <x:v>Existing Master IN / current P2</x:v>
      </x:c>
      <x:c r="P53" s="39" t="str">
        <x:v>Master 50 IN</x:v>
      </x:c>
      <x:c r="Q53" s="39" t="str">
        <x:v>portfolio_export (14).csv</x:v>
      </x:c>
    </x:row>
    <x:row r="54">
      <x:c r="A54" s="39" t="n">
        <x:v>50</x:v>
      </x:c>
      <x:c r="B54" s="39" t="str">
        <x:v>POWERGRID</x:v>
      </x:c>
      <x:c r="C54" s="55" t="str">
        <x:v>P2</x:v>
      </x:c>
      <x:c r="D54" s="39" t="str">
        <x:v>Energy / Utilities</x:v>
      </x:c>
      <x:c r="E54" s="39" t="str">
        <x:v>—</x:v>
      </x:c>
      <x:c r="F54" s="39" t="str">
        <x:v>Yes</x:v>
      </x:c>
      <x:c r="G54" s="39" t="str"/>
      <x:c r="H54" s="39" t="str"/>
      <x:c r="I54" s="39" t="str">
        <x:v>P2</x:v>
      </x:c>
      <x:c r="J54" s="41" t="str">
        <x:v>20</x:v>
      </x:c>
      <x:c r="K54" s="43" t="str">
        <x:v>15.4</x:v>
      </x:c>
      <x:c r="L54" s="45" t="str">
        <x:v>245071</x:v>
      </x:c>
      <x:c r="M54" s="39" t="str">
        <x:v>HOLD</x:v>
      </x:c>
      <x:c r="N54" s="39" t="str">
        <x:v>Transmission/utility stabilizer</x:v>
      </x:c>
      <x:c r="O54" s="39" t="str">
        <x:v>Existing Master IN / current P2</x:v>
      </x:c>
      <x:c r="P54" s="39" t="str">
        <x:v>Master 50 IN</x:v>
      </x:c>
      <x:c r="Q54" s="39" t="str">
        <x:v>portfolio_export (14).csv</x:v>
      </x:c>
    </x:row>
    <x:row r="55">
      <x:c r="A55" s="39" t="n">
        <x:v>51</x:v>
      </x:c>
      <x:c r="B55" s="39" t="str">
        <x:v>IKS</x:v>
      </x:c>
      <x:c r="C55" s="55" t="str">
        <x:v>P2</x:v>
      </x:c>
      <x:c r="D55" s="39" t="str">
        <x:v>IT / Technology</x:v>
      </x:c>
      <x:c r="E55" s="39" t="str">
        <x:v>M</x:v>
      </x:c>
      <x:c r="F55" s="39" t="str"/>
      <x:c r="G55" s="39" t="str"/>
      <x:c r="H55" s="39" t="str">
        <x:v>Yes</x:v>
      </x:c>
      <x:c r="I55" s="39" t="str"/>
      <x:c r="J55" s="41" t="str">
        <x:v>0</x:v>
      </x:c>
      <x:c r="K55" s="43" t="str">
        <x:v>39.3</x:v>
      </x:c>
      <x:c r="L55" s="45" t="str">
        <x:v>29209</x:v>
      </x:c>
      <x:c r="M55" s="39" t="str"/>
      <x:c r="N55" s="39" t="str">
        <x:v>Healthcare technology growth</x:v>
      </x:c>
      <x:c r="O55" s="39" t="str">
        <x:v>Existing Master IN; M / P2 satellite</x:v>
      </x:c>
      <x:c r="P55" s="39" t="str">
        <x:v>Master 50 IN</x:v>
      </x:c>
      <x:c r="Q55" s="39" t="str">
        <x:v>portfolio_export (14).csv</x:v>
      </x:c>
    </x:row>
    <x:row r="56">
      <x:c r="A56" s="39" t="n">
        <x:v>52</x:v>
      </x:c>
      <x:c r="B56" s="39" t="str">
        <x:v>SJS ENTERPRISES</x:v>
      </x:c>
      <x:c r="C56" s="55" t="str">
        <x:v>P2</x:v>
      </x:c>
      <x:c r="D56" s="39" t="str">
        <x:v>Auto &amp; Components / EV</x:v>
      </x:c>
      <x:c r="E56" s="39" t="str">
        <x:v>M</x:v>
      </x:c>
      <x:c r="F56" s="39" t="str"/>
      <x:c r="G56" s="39" t="str"/>
      <x:c r="H56" s="39" t="str">
        <x:v>Yes</x:v>
      </x:c>
      <x:c r="I56" s="39" t="str"/>
      <x:c r="J56" s="41" t="str">
        <x:v>0</x:v>
      </x:c>
      <x:c r="K56" s="43" t="str">
        <x:v>35.1</x:v>
      </x:c>
      <x:c r="L56" s="45" t="str">
        <x:v>7476</x:v>
      </x:c>
      <x:c r="M56" s="39" t="str"/>
      <x:c r="N56" s="39" t="str">
        <x:v>Strong growth and cash-flow profile</x:v>
      </x:c>
      <x:c r="O56" s="39" t="str">
        <x:v>Existing Master IN; M / P2 satellite</x:v>
      </x:c>
      <x:c r="P56" s="39" t="str">
        <x:v>Master 50 IN</x:v>
      </x:c>
      <x:c r="Q56" s="39" t="str">
        <x:v>portfolio_export (14).csv</x:v>
      </x:c>
    </x:row>
    <x:row r="57">
      <x:c r="A57" s="39" t="n">
        <x:v>53</x:v>
      </x:c>
      <x:c r="B57" s="39" t="str">
        <x:v>NETWEB</x:v>
      </x:c>
      <x:c r="C57" s="55" t="str">
        <x:v>P2</x:v>
      </x:c>
      <x:c r="D57" s="39" t="str">
        <x:v>IT / Technology</x:v>
      </x:c>
      <x:c r="E57" s="39" t="str">
        <x:v>M</x:v>
      </x:c>
      <x:c r="F57" s="39" t="str"/>
      <x:c r="G57" s="39" t="str"/>
      <x:c r="H57" s="39" t="str">
        <x:v>Yes</x:v>
      </x:c>
      <x:c r="I57" s="39" t="str"/>
      <x:c r="J57" s="41" t="str">
        <x:v>0</x:v>
      </x:c>
      <x:c r="K57" s="43" t="str">
        <x:v>99.2</x:v>
      </x:c>
      <x:c r="L57" s="45" t="str">
        <x:v>25716</x:v>
      </x:c>
      <x:c r="M57" s="39" t="str"/>
      <x:c r="N57" s="39" t="str">
        <x:v>Direct AI/server/data-centre exposure</x:v>
      </x:c>
      <x:c r="O57" s="39" t="str">
        <x:v>Existing Master IN; M / P2 satellite</x:v>
      </x:c>
      <x:c r="P57" s="39" t="str">
        <x:v>Master 50 IN</x:v>
      </x:c>
      <x:c r="Q57" s="39" t="str">
        <x:v>portfolio_export (14).csv</x:v>
      </x:c>
    </x:row>
    <x:row r="58">
      <x:c r="A58" s="39" t="n">
        <x:v>54</x:v>
      </x:c>
      <x:c r="B58" s="39" t="str">
        <x:v>PRUDENT</x:v>
      </x:c>
      <x:c r="C58" s="55" t="str">
        <x:v>P2</x:v>
      </x:c>
      <x:c r="D58" s="39" t="str">
        <x:v>Financial Services</x:v>
      </x:c>
      <x:c r="E58" s="39" t="str">
        <x:v>M</x:v>
      </x:c>
      <x:c r="F58" s="39" t="str"/>
      <x:c r="G58" s="39" t="str"/>
      <x:c r="H58" s="39" t="str">
        <x:v>Yes</x:v>
      </x:c>
      <x:c r="I58" s="39" t="str"/>
      <x:c r="J58" s="41" t="str">
        <x:v>0</x:v>
      </x:c>
      <x:c r="K58" s="43" t="str">
        <x:v>56.1</x:v>
      </x:c>
      <x:c r="L58" s="45" t="str">
        <x:v>13747</x:v>
      </x:c>
      <x:c r="M58" s="39" t="str"/>
      <x:c r="N58" s="39" t="str">
        <x:v>Wealth/distribution platform</x:v>
      </x:c>
      <x:c r="O58" s="39" t="str">
        <x:v>Existing Master IN; M / P2 satellite</x:v>
      </x:c>
      <x:c r="P58" s="39" t="str">
        <x:v>Master 50 IN</x:v>
      </x:c>
      <x:c r="Q58" s="39" t="str">
        <x:v>portfolio_export (14).csv</x:v>
      </x:c>
    </x:row>
    <x:row r="59">
      <x:c r="A59" s="39" t="n">
        <x:v>55</x:v>
      </x:c>
      <x:c r="B59" s="39" t="str">
        <x:v>TATAELXSI</x:v>
      </x:c>
      <x:c r="C59" s="55" t="str">
        <x:v>P2</x:v>
      </x:c>
      <x:c r="D59" s="39" t="str">
        <x:v>IT / Technology</x:v>
      </x:c>
      <x:c r="E59" s="39" t="str">
        <x:v>C</x:v>
      </x:c>
      <x:c r="F59" s="39" t="str">
        <x:v>Yes</x:v>
      </x:c>
      <x:c r="G59" s="39" t="str">
        <x:v>Yes</x:v>
      </x:c>
      <x:c r="H59" s="39" t="str"/>
      <x:c r="I59" s="39" t="str">
        <x:v>P2</x:v>
      </x:c>
      <x:c r="J59" s="41" t="str">
        <x:v>8</x:v>
      </x:c>
      <x:c r="K59" s="43" t="str">
        <x:v>32.1</x:v>
      </x:c>
      <x:c r="L59" s="45" t="str">
        <x:v>21016</x:v>
      </x:c>
      <x:c r="M59" s="39" t="str">
        <x:v>HOLD</x:v>
      </x:c>
      <x:c r="N59" s="39" t="str">
        <x:v>ER&amp;D overlap with selected names</x:v>
      </x:c>
      <x:c r="O59" s="39" t="str">
        <x:v>Promoted from OUT; current P2 + C</x:v>
      </x:c>
      <x:c r="P59" s="39" t="str">
        <x:v>Master 50 OUT promoted</x:v>
      </x:c>
      <x:c r="Q59" s="39" t="str">
        <x:v>portfolio_export (14).csv</x:v>
      </x:c>
    </x:row>
    <x:row r="60">
      <x:c r="A60" s="39" t="n">
        <x:v>56</x:v>
      </x:c>
      <x:c r="B60" s="39" t="str">
        <x:v>ZYDUSLIFE</x:v>
      </x:c>
      <x:c r="C60" s="55" t="str">
        <x:v>P2</x:v>
      </x:c>
      <x:c r="D60" s="39" t="str">
        <x:v>Healthcare / Pharma</x:v>
      </x:c>
      <x:c r="E60" s="39" t="str">
        <x:v>C</x:v>
      </x:c>
      <x:c r="F60" s="39" t="str"/>
      <x:c r="G60" s="39" t="str">
        <x:v>Yes</x:v>
      </x:c>
      <x:c r="H60" s="39" t="str"/>
      <x:c r="I60" s="39" t="str"/>
      <x:c r="J60" s="41" t="str">
        <x:v>0</x:v>
      </x:c>
      <x:c r="K60" s="43" t="str">
        <x:v>24.7</x:v>
      </x:c>
      <x:c r="L60" s="45" t="str">
        <x:v>110474</x:v>
      </x:c>
      <x:c r="M60" s="39" t="str">
        <x:v>BUY</x:v>
      </x:c>
      <x:c r="N60" s="39" t="str">
        <x:v>Pharma overlap</x:v>
      </x:c>
      <x:c r="O60" s="39" t="str">
        <x:v>Promoted from OUT; C-priority P2</x:v>
      </x:c>
      <x:c r="P60" s="39" t="str">
        <x:v>Master 50 OUT promoted</x:v>
      </x:c>
      <x:c r="Q60" s="39" t="str">
        <x:v>portfolio_export (14).csv</x:v>
      </x:c>
    </x:row>
    <x:row r="61">
      <x:c r="A61" s="39" t="n">
        <x:v>57</x:v>
      </x:c>
      <x:c r="B61" s="39" t="str">
        <x:v>ACE</x:v>
      </x:c>
      <x:c r="C61" s="55" t="str">
        <x:v>P2</x:v>
      </x:c>
      <x:c r="D61" s="39" t="str">
        <x:v>Industrial / Capital Goods</x:v>
      </x:c>
      <x:c r="E61" s="39" t="str">
        <x:v>C</x:v>
      </x:c>
      <x:c r="F61" s="39" t="str"/>
      <x:c r="G61" s="39" t="str">
        <x:v>Yes</x:v>
      </x:c>
      <x:c r="H61" s="39" t="str"/>
      <x:c r="I61" s="39" t="str"/>
      <x:c r="J61" s="41" t="str">
        <x:v>0</x:v>
      </x:c>
      <x:c r="K61" s="43" t="str">
        <x:v>31.4</x:v>
      </x:c>
      <x:c r="L61" s="45" t="str">
        <x:v>13706</x:v>
      </x:c>
      <x:c r="M61" s="39" t="str">
        <x:v>BUY</x:v>
      </x:c>
      <x:c r="N61" s="39" t="str">
        <x:v>Capital-goods overlap</x:v>
      </x:c>
      <x:c r="O61" s="39" t="str">
        <x:v>Promoted from OUT; C-priority P2</x:v>
      </x:c>
      <x:c r="P61" s="39" t="str">
        <x:v>Master 50 OUT promoted</x:v>
      </x:c>
      <x:c r="Q61" s="39" t="str">
        <x:v>portfolio_export (14).csv</x:v>
      </x:c>
    </x:row>
    <x:row r="62">
      <x:c r="A62" s="39" t="n">
        <x:v>58</x:v>
      </x:c>
      <x:c r="B62" s="39" t="str">
        <x:v>OFSS</x:v>
      </x:c>
      <x:c r="C62" s="55" t="str">
        <x:v>P2</x:v>
      </x:c>
      <x:c r="D62" s="39" t="str">
        <x:v>IT / Technology</x:v>
      </x:c>
      <x:c r="E62" s="39" t="str">
        <x:v>C</x:v>
      </x:c>
      <x:c r="F62" s="39" t="str"/>
      <x:c r="G62" s="39" t="str">
        <x:v>Yes</x:v>
      </x:c>
      <x:c r="H62" s="39" t="str"/>
      <x:c r="I62" s="39" t="str"/>
      <x:c r="J62" s="41" t="str">
        <x:v>0</x:v>
      </x:c>
      <x:c r="K62" s="43" t="str">
        <x:v>29.4</x:v>
      </x:c>
      <x:c r="L62" s="45" t="str">
        <x:v>100192</x:v>
      </x:c>
      <x:c r="M62" s="39" t="str">
        <x:v>HOLD</x:v>
      </x:c>
      <x:c r="N62" s="39" t="str">
        <x:v>IT/product-software overlap</x:v>
      </x:c>
      <x:c r="O62" s="39" t="str">
        <x:v>Promoted from OUT; C-priority P2</x:v>
      </x:c>
      <x:c r="P62" s="39" t="str">
        <x:v>Master 50 OUT promoted</x:v>
      </x:c>
      <x:c r="Q62" s="39" t="str">
        <x:v>portfolio_export (14).csv</x:v>
      </x:c>
    </x:row>
    <x:row r="63">
      <x:c r="A63" s="39" t="n">
        <x:v>59</x:v>
      </x:c>
      <x:c r="B63" s="39" t="str">
        <x:v>JSL</x:v>
      </x:c>
      <x:c r="C63" s="55" t="str">
        <x:v>P2</x:v>
      </x:c>
      <x:c r="D63" s="39" t="str">
        <x:v>Chemicals / Materials</x:v>
      </x:c>
      <x:c r="E63" s="39" t="str">
        <x:v>C</x:v>
      </x:c>
      <x:c r="F63" s="39" t="str"/>
      <x:c r="G63" s="39" t="str">
        <x:v>Yes</x:v>
      </x:c>
      <x:c r="H63" s="39" t="str"/>
      <x:c r="I63" s="39" t="str"/>
      <x:c r="J63" s="41" t="str">
        <x:v>0</x:v>
      </x:c>
      <x:c r="K63" s="43" t="str">
        <x:v>18.7</x:v>
      </x:c>
      <x:c r="L63" s="45" t="str">
        <x:v>60148</x:v>
      </x:c>
      <x:c r="M63" s="39" t="str">
        <x:v>HOLD</x:v>
      </x:c>
      <x:c r="N63" s="39" t="str">
        <x:v>Cyclical metals exposure</x:v>
      </x:c>
      <x:c r="O63" s="39" t="str">
        <x:v>Promoted from OUT; C-priority P2</x:v>
      </x:c>
      <x:c r="P63" s="39" t="str">
        <x:v>Master 50 OUT promoted</x:v>
      </x:c>
      <x:c r="Q63" s="39" t="str">
        <x:v>portfolio_export (14).csv</x:v>
      </x:c>
    </x:row>
    <x:row r="64">
      <x:c r="A64" s="39" t="n">
        <x:v>60</x:v>
      </x:c>
      <x:c r="B64" s="39" t="str">
        <x:v>CIPLA</x:v>
      </x:c>
      <x:c r="C64" s="55" t="str">
        <x:v>P2</x:v>
      </x:c>
      <x:c r="D64" s="39" t="str">
        <x:v>Healthcare / Pharma</x:v>
      </x:c>
      <x:c r="E64" s="39" t="str">
        <x:v>C</x:v>
      </x:c>
      <x:c r="F64" s="39" t="str"/>
      <x:c r="G64" s="39" t="str">
        <x:v>Yes</x:v>
      </x:c>
      <x:c r="H64" s="39" t="str"/>
      <x:c r="I64" s="39" t="str"/>
      <x:c r="J64" s="41" t="str">
        <x:v>0</x:v>
      </x:c>
      <x:c r="K64" s="43" t="str">
        <x:v>32.6</x:v>
      </x:c>
      <x:c r="L64" s="45" t="str">
        <x:v>110071</x:v>
      </x:c>
      <x:c r="M64" s="39" t="str">
        <x:v>HOLD</x:v>
      </x:c>
      <x:c r="N64" s="39" t="str">
        <x:v>Pharma overlap</x:v>
      </x:c>
      <x:c r="O64" s="39" t="str">
        <x:v>Promoted from OUT; C-priority P2</x:v>
      </x:c>
      <x:c r="P64" s="39" t="str">
        <x:v>Master 50 OUT promoted</x:v>
      </x:c>
      <x:c r="Q64" s="39" t="str">
        <x:v>portfolio_export (14).csv</x:v>
      </x:c>
    </x:row>
  </x:sheetData>
  <x:mergeCells>
    <x:mergeCell ref="A1:Q1"/>
    <x:mergeCell ref="A2:Q2"/>
  </x:mergeCells>
  <x:conditionalFormatting sqref="M5:M64">
    <x:cfRule type="expression" dxfId="0" priority="1">
      <x:formula>M5="BUY"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6fb9db5f9f45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9" hidden="0" customWidth="1"/>
    <x:col min="4" max="4" width="24" hidden="0" customWidth="1"/>
    <x:col min="5" max="5" width="13" hidden="0" customWidth="1"/>
    <x:col min="6" max="6" width="5" hidden="0" customWidth="1"/>
    <x:col min="7" max="7" width="5" hidden="0" customWidth="1"/>
    <x:col min="8" max="8" width="5" hidden="0" customWidth="1"/>
    <x:col min="9" max="9" width="12" hidden="0" customWidth="1"/>
    <x:col min="10" max="10" width="8" hidden="0" customWidth="1"/>
    <x:col min="11" max="11" width="9" hidden="0" customWidth="1"/>
    <x:col min="12" max="12" width="14" hidden="0" customWidth="1"/>
    <x:col min="13" max="13" width="10" hidden="0" customWidth="1"/>
    <x:col min="14" max="14" width="34" hidden="0" customWidth="1"/>
    <x:col min="15" max="15" width="34" hidden="0" customWidth="1"/>
    <x:col min="16" max="16" width="18" hidden="0" customWidth="1"/>
    <x:col min="17" max="17" width="24" hidden="0" customWidth="1"/>
  </x:cols>
  <x:sheetData>
    <x:row r="1">
      <x:c r="A1" s="5" t="str">
        <x:v>OUT — EXCLUDED FROM FINAL 60-STOCK EQUITY BASKET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61" t="str">
        <x:v>58 non-ETF stocks remain OUT after promotion of 10 stocks. Sold/zero-quantity stocks remain listed as OUT.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4">
      <x:c r="A4" s="20" t="str">
        <x:v>#</x:v>
      </x:c>
      <x:c r="B4" s="20" t="str">
        <x:v>Stock</x:v>
      </x:c>
      <x:c r="C4" s="20" t="str">
        <x:v>Bucket</x:v>
      </x:c>
      <x:c r="D4" s="20" t="str">
        <x:v>Sector</x:v>
      </x:c>
      <x:c r="E4" s="20" t="str">
        <x:v>Qualification</x:v>
      </x:c>
      <x:c r="F4" s="20" t="str">
        <x:v>E</x:v>
      </x:c>
      <x:c r="G4" s="20" t="str">
        <x:v>C</x:v>
      </x:c>
      <x:c r="H4" s="20" t="str">
        <x:v>M</x:v>
      </x:c>
      <x:c r="I4" s="20" t="str">
        <x:v>Latest PORT</x:v>
      </x:c>
      <x:c r="J4" s="20" t="str">
        <x:v>QTY</x:v>
      </x:c>
      <x:c r="K4" s="20" t="str">
        <x:v>PE (x)</x:v>
      </x:c>
      <x:c r="L4" s="20" t="str">
        <x:v>MCap (₹ Cr)</x:v>
      </x:c>
      <x:c r="M4" s="20" t="str">
        <x:v>AI Call</x:v>
      </x:c>
      <x:c r="N4" s="20" t="str">
        <x:v>Master Reason</x:v>
      </x:c>
      <x:c r="O4" s="20" t="str">
        <x:v>Selection Basis</x:v>
      </x:c>
      <x:c r="P4" s="20" t="str">
        <x:v>Master Source</x:v>
      </x:c>
      <x:c r="Q4" s="20" t="str">
        <x:v>Latest CSV Source</x:v>
      </x:c>
    </x:row>
    <x:row r="5">
      <x:c r="A5" s="39" t="n">
        <x:v>1</x:v>
      </x:c>
      <x:c r="B5" s="39" t="str">
        <x:v>IDEA</x:v>
      </x:c>
      <x:c r="C5" s="39" t="str">
        <x:v>OUT</x:v>
      </x:c>
      <x:c r="D5" s="39" t="str">
        <x:v>Other / Unclassified</x:v>
      </x:c>
      <x:c r="E5" s="39" t="str">
        <x:v>—</x:v>
      </x:c>
      <x:c r="F5" s="39" t="str">
        <x:v>Yes</x:v>
      </x:c>
      <x:c r="G5" s="39" t="str"/>
      <x:c r="H5" s="39" t="str"/>
      <x:c r="I5" s="39" t="str">
        <x:v>P1</x:v>
      </x:c>
      <x:c r="J5" s="41" t="str">
        <x:v>300</x:v>
      </x:c>
      <x:c r="K5" s="43" t="str">
        <x:v>4.1</x:v>
      </x:c>
      <x:c r="L5" s="45" t="str">
        <x:v>154389</x:v>
      </x:c>
      <x:c r="M5" s="39" t="str">
        <x:v>SELL ON RALLY</x:v>
      </x:c>
      <x:c r="N5" s="39" t="str">
        <x:v>Existing P1 holding not selected for final 50-stock basket</x:v>
      </x:c>
      <x:c r="O5" s="39" t="str">
        <x:v>Excluded after 60-stock rebalance</x:v>
      </x:c>
      <x:c r="P5" s="39" t="str">
        <x:v>Master 50 OUT</x:v>
      </x:c>
      <x:c r="Q5" s="39" t="str">
        <x:v>portfolio_export (14).csv</x:v>
      </x:c>
    </x:row>
    <x:row r="6">
      <x:c r="A6" s="39" t="n">
        <x:v>2</x:v>
      </x:c>
      <x:c r="B6" s="39" t="str">
        <x:v>RPOWER</x:v>
      </x:c>
      <x:c r="C6" s="39" t="str">
        <x:v>OUT</x:v>
      </x:c>
      <x:c r="D6" s="39" t="str">
        <x:v>Other / Unclassified</x:v>
      </x:c>
      <x:c r="E6" s="39" t="str">
        <x:v>—</x:v>
      </x:c>
      <x:c r="F6" s="39" t="str"/>
      <x:c r="G6" s="39" t="str"/>
      <x:c r="H6" s="39" t="str"/>
      <x:c r="I6" s="39" t="str"/>
      <x:c r="J6" s="41" t="str"/>
      <x:c r="K6" s="43" t="str"/>
      <x:c r="L6" s="45" t="str"/>
      <x:c r="M6" s="39" t="str"/>
      <x:c r="N6" s="39" t="str">
        <x:v>Fully sold on 16-Sep-2026; current QTY is 0 in portfolio_export (12).csv.</x:v>
      </x:c>
      <x:c r="O6" s="39" t="str">
        <x:v>Excluded after 60-stock rebalance</x:v>
      </x:c>
      <x:c r="P6" s="39" t="str">
        <x:v>Master 50 OUT</x:v>
      </x:c>
      <x:c r="Q6" s="39" t="str"/>
    </x:row>
    <x:row r="7">
      <x:c r="A7" s="39" t="n">
        <x:v>3</x:v>
      </x:c>
      <x:c r="B7" s="39" t="str">
        <x:v>KPITTECH</x:v>
      </x:c>
      <x:c r="C7" s="39" t="str">
        <x:v>OUT</x:v>
      </x:c>
      <x:c r="D7" s="39" t="str">
        <x:v>Other / Unclassified</x:v>
      </x:c>
      <x:c r="E7" s="39" t="str">
        <x:v>—</x:v>
      </x:c>
      <x:c r="F7" s="39" t="str">
        <x:v>Yes</x:v>
      </x:c>
      <x:c r="G7" s="39" t="str"/>
      <x:c r="H7" s="39" t="str"/>
      <x:c r="I7" s="39" t="str">
        <x:v>P1</x:v>
      </x:c>
      <x:c r="J7" s="41" t="str">
        <x:v>10</x:v>
      </x:c>
      <x:c r="K7" s="43" t="str">
        <x:v>26.1</x:v>
      </x:c>
      <x:c r="L7" s="45" t="str">
        <x:v>15153</x:v>
      </x:c>
      <x:c r="M7" s="39" t="str">
        <x:v>EXIT NOW</x:v>
      </x:c>
      <x:c r="N7" s="39" t="str">
        <x:v>Lower portfolio priority versus selected IT/ER&amp;D names</x:v>
      </x:c>
      <x:c r="O7" s="39" t="str">
        <x:v>Excluded after 60-stock rebalance</x:v>
      </x:c>
      <x:c r="P7" s="39" t="str">
        <x:v>Master 50 OUT</x:v>
      </x:c>
      <x:c r="Q7" s="39" t="str">
        <x:v>portfolio_export (14).csv</x:v>
      </x:c>
    </x:row>
    <x:row r="8">
      <x:c r="A8" s="39" t="n">
        <x:v>4</x:v>
      </x:c>
      <x:c r="B8" s="39" t="str">
        <x:v>JIOFIN</x:v>
      </x:c>
      <x:c r="C8" s="39" t="str">
        <x:v>OUT</x:v>
      </x:c>
      <x:c r="D8" s="39" t="str">
        <x:v>Other / Unclassified</x:v>
      </x:c>
      <x:c r="E8" s="39" t="str">
        <x:v>—</x:v>
      </x:c>
      <x:c r="F8" s="39" t="str">
        <x:v>Yes</x:v>
      </x:c>
      <x:c r="G8" s="39" t="str"/>
      <x:c r="H8" s="39" t="str"/>
      <x:c r="I8" s="39" t="str">
        <x:v>P1</x:v>
      </x:c>
      <x:c r="J8" s="41" t="str">
        <x:v>29</x:v>
      </x:c>
      <x:c r="K8" s="43" t="str">
        <x:v>69.8</x:v>
      </x:c>
      <x:c r="L8" s="45" t="str">
        <x:v>143312</x:v>
      </x:c>
      <x:c r="M8" s="39" t="str">
        <x:v>HOLD</x:v>
      </x:c>
      <x:c r="N8" s="39" t="str">
        <x:v>Developing model and valuation considerations</x:v>
      </x:c>
      <x:c r="O8" s="39" t="str">
        <x:v>Excluded after 60-stock rebalance</x:v>
      </x:c>
      <x:c r="P8" s="39" t="str">
        <x:v>Master 50 OUT</x:v>
      </x:c>
      <x:c r="Q8" s="39" t="str">
        <x:v>portfolio_export (14).csv</x:v>
      </x:c>
    </x:row>
    <x:row r="9">
      <x:c r="A9" s="39" t="n">
        <x:v>5</x:v>
      </x:c>
      <x:c r="B9" s="39" t="str">
        <x:v>TATATECH</x:v>
      </x:c>
      <x:c r="C9" s="39" t="str">
        <x:v>OUT</x:v>
      </x:c>
      <x:c r="D9" s="39" t="str">
        <x:v>Other / Unclassified</x:v>
      </x:c>
      <x:c r="E9" s="39" t="str">
        <x:v>—</x:v>
      </x:c>
      <x:c r="F9" s="39" t="str">
        <x:v>Yes</x:v>
      </x:c>
      <x:c r="G9" s="39" t="str"/>
      <x:c r="H9" s="39" t="str"/>
      <x:c r="I9" s="39" t="str">
        <x:v>P1</x:v>
      </x:c>
      <x:c r="J9" s="41" t="str">
        <x:v>20</x:v>
      </x:c>
      <x:c r="K9" s="43" t="str">
        <x:v>54.5</x:v>
      </x:c>
      <x:c r="L9" s="45" t="str">
        <x:v>30372</x:v>
      </x:c>
      <x:c r="M9" s="39" t="str">
        <x:v>BUY</x:v>
      </x:c>
      <x:c r="N9" s="39" t="str">
        <x:v>Overlap with stronger digital/engineering selections</x:v>
      </x:c>
      <x:c r="O9" s="39" t="str">
        <x:v>Excluded after 60-stock rebalance</x:v>
      </x:c>
      <x:c r="P9" s="39" t="str">
        <x:v>Master 50 OUT</x:v>
      </x:c>
      <x:c r="Q9" s="39" t="str">
        <x:v>portfolio_export (14).csv</x:v>
      </x:c>
    </x:row>
    <x:row r="10">
      <x:c r="A10" s="39" t="n">
        <x:v>6</x:v>
      </x:c>
      <x:c r="B10" s="39" t="str">
        <x:v>DMART</x:v>
      </x:c>
      <x:c r="C10" s="39" t="str">
        <x:v>OUT</x:v>
      </x:c>
      <x:c r="D10" s="39" t="str">
        <x:v>Other / Unclassified</x:v>
      </x:c>
      <x:c r="E10" s="39" t="str">
        <x:v>—</x:v>
      </x:c>
      <x:c r="F10" s="39" t="str">
        <x:v>Yes</x:v>
      </x:c>
      <x:c r="G10" s="39" t="str"/>
      <x:c r="H10" s="39" t="str"/>
      <x:c r="I10" s="39" t="str">
        <x:v>P1</x:v>
      </x:c>
      <x:c r="J10" s="41" t="str">
        <x:v>11</x:v>
      </x:c>
      <x:c r="K10" s="43" t="str">
        <x:v>79.3</x:v>
      </x:c>
      <x:c r="L10" s="45" t="str">
        <x:v>241447</x:v>
      </x:c>
      <x:c r="M10" s="39" t="str">
        <x:v>HOLD</x:v>
      </x:c>
      <x:c r="N10" s="39" t="str">
        <x:v>Quality business but portfolio-space constraint</x:v>
      </x:c>
      <x:c r="O10" s="39" t="str">
        <x:v>Excluded after 60-stock rebalance</x:v>
      </x:c>
      <x:c r="P10" s="39" t="str">
        <x:v>Master 50 OUT</x:v>
      </x:c>
      <x:c r="Q10" s="39" t="str">
        <x:v>portfolio_export (14).csv</x:v>
      </x:c>
    </x:row>
    <x:row r="11">
      <x:c r="A11" s="39" t="n">
        <x:v>7</x:v>
      </x:c>
      <x:c r="B11" s="39" t="str">
        <x:v>INDHOTEL</x:v>
      </x:c>
      <x:c r="C11" s="39" t="str">
        <x:v>OUT</x:v>
      </x:c>
      <x:c r="D11" s="39" t="str">
        <x:v>Other / Unclassified</x:v>
      </x:c>
      <x:c r="E11" s="39" t="str">
        <x:v>—</x:v>
      </x:c>
      <x:c r="F11" s="39" t="str">
        <x:v>Yes</x:v>
      </x:c>
      <x:c r="G11" s="39" t="str"/>
      <x:c r="H11" s="39" t="str"/>
      <x:c r="I11" s="39" t="str">
        <x:v>P1</x:v>
      </x:c>
      <x:c r="J11" s="41" t="str">
        <x:v>11</x:v>
      </x:c>
      <x:c r="K11" s="43" t="str">
        <x:v>47.3</x:v>
      </x:c>
      <x:c r="L11" s="45" t="str">
        <x:v>101534</x:v>
      </x:c>
      <x:c r="M11" s="39" t="str">
        <x:v>HOLD</x:v>
      </x:c>
      <x:c r="N11" s="39" t="str">
        <x:v>Good business but lower basket priority</x:v>
      </x:c>
      <x:c r="O11" s="39" t="str">
        <x:v>Excluded after 60-stock rebalance</x:v>
      </x:c>
      <x:c r="P11" s="39" t="str">
        <x:v>Master 50 OUT</x:v>
      </x:c>
      <x:c r="Q11" s="39" t="str">
        <x:v>portfolio_export (14).csv</x:v>
      </x:c>
    </x:row>
    <x:row r="12">
      <x:c r="A12" s="39" t="n">
        <x:v>8</x:v>
      </x:c>
      <x:c r="B12" s="39" t="str">
        <x:v>LANDMARK</x:v>
      </x:c>
      <x:c r="C12" s="39" t="str">
        <x:v>OUT</x:v>
      </x:c>
      <x:c r="D12" s="39" t="str">
        <x:v>Other / Unclassified</x:v>
      </x:c>
      <x:c r="E12" s="39" t="str">
        <x:v>—</x:v>
      </x:c>
      <x:c r="F12" s="39" t="str"/>
      <x:c r="G12" s="39" t="str"/>
      <x:c r="H12" s="39" t="str"/>
      <x:c r="I12" s="39" t="str"/>
      <x:c r="J12" s="41" t="str"/>
      <x:c r="K12" s="43" t="str"/>
      <x:c r="L12" s="45" t="str"/>
      <x:c r="M12" s="39" t="str"/>
      <x:c r="N12" s="39" t="str">
        <x:v>Fully sold on 16-Sep-2026; current QTY is 0 in portfolio_export (12).csv.</x:v>
      </x:c>
      <x:c r="O12" s="39" t="str">
        <x:v>Excluded after 60-stock rebalance</x:v>
      </x:c>
      <x:c r="P12" s="39" t="str">
        <x:v>Master 50 OUT</x:v>
      </x:c>
      <x:c r="Q12" s="39" t="str"/>
    </x:row>
    <x:row r="13">
      <x:c r="A13" s="39" t="n">
        <x:v>9</x:v>
      </x:c>
      <x:c r="B13" s="39" t="str">
        <x:v>BLS E-SERVICES</x:v>
      </x:c>
      <x:c r="C13" s="39" t="str">
        <x:v>OUT</x:v>
      </x:c>
      <x:c r="D13" s="39" t="str">
        <x:v>Other / Unclassified</x:v>
      </x:c>
      <x:c r="E13" s="39" t="str">
        <x:v>M</x:v>
      </x:c>
      <x:c r="F13" s="39" t="str"/>
      <x:c r="G13" s="39" t="str"/>
      <x:c r="H13" s="39" t="str">
        <x:v>Yes</x:v>
      </x:c>
      <x:c r="I13" s="39" t="str"/>
      <x:c r="J13" s="41" t="str">
        <x:v>0</x:v>
      </x:c>
      <x:c r="K13" s="43" t="str">
        <x:v>48.9</x:v>
      </x:c>
      <x:c r="L13" s="45" t="str">
        <x:v>2833</x:v>
      </x:c>
      <x:c r="M13" s="39" t="str"/>
      <x:c r="N13" s="39" t="str">
        <x:v>Strong screen result but BLS International already occupies the basket allocation</x:v>
      </x:c>
      <x:c r="O13" s="39" t="str">
        <x:v>Excluded after 60-stock rebalance</x:v>
      </x:c>
      <x:c r="P13" s="39" t="str">
        <x:v>Master 50 OUT</x:v>
      </x:c>
      <x:c r="Q13" s="39" t="str">
        <x:v>portfolio_export (14).csv</x:v>
      </x:c>
    </x:row>
    <x:row r="14">
      <x:c r="A14" s="39" t="n">
        <x:v>10</x:v>
      </x:c>
      <x:c r="B14" s="39" t="str">
        <x:v>TRENT</x:v>
      </x:c>
      <x:c r="C14" s="39" t="str">
        <x:v>OUT</x:v>
      </x:c>
      <x:c r="D14" s="39" t="str">
        <x:v>Other / Unclassified</x:v>
      </x:c>
      <x:c r="E14" s="39" t="str">
        <x:v>C</x:v>
      </x:c>
      <x:c r="F14" s="39" t="str">
        <x:v>Yes</x:v>
      </x:c>
      <x:c r="G14" s="39" t="str">
        <x:v>Yes</x:v>
      </x:c>
      <x:c r="H14" s="39" t="str"/>
      <x:c r="I14" s="39" t="str">
        <x:v>P1</x:v>
      </x:c>
      <x:c r="J14" s="41" t="str">
        <x:v>6</x:v>
      </x:c>
      <x:c r="K14" s="43" t="str">
        <x:v>81.7</x:v>
      </x:c>
      <x:c r="L14" s="45" t="str">
        <x:v>98105</x:v>
      </x:c>
      <x:c r="M14" s="39" t="str">
        <x:v>HOLD</x:v>
      </x:c>
      <x:c r="N14" s="39" t="str">
        <x:v>Strong business but valuation-sensitive</x:v>
      </x:c>
      <x:c r="O14" s="39" t="str">
        <x:v>Excluded after 60-stock rebalance</x:v>
      </x:c>
      <x:c r="P14" s="39" t="str">
        <x:v>Master 50 OUT</x:v>
      </x:c>
      <x:c r="Q14" s="39" t="str">
        <x:v>portfolio_export (14).csv</x:v>
      </x:c>
    </x:row>
    <x:row r="15">
      <x:c r="A15" s="39" t="n">
        <x:v>11</x:v>
      </x:c>
      <x:c r="B15" s="39" t="str">
        <x:v>HAVELLS</x:v>
      </x:c>
      <x:c r="C15" s="39" t="str">
        <x:v>OUT</x:v>
      </x:c>
      <x:c r="D15" s="39" t="str">
        <x:v>Other / Unclassified</x:v>
      </x:c>
      <x:c r="E15" s="39" t="str">
        <x:v>—</x:v>
      </x:c>
      <x:c r="F15" s="39" t="str">
        <x:v>Yes</x:v>
      </x:c>
      <x:c r="G15" s="39" t="str"/>
      <x:c r="H15" s="39" t="str"/>
      <x:c r="I15" s="39" t="str">
        <x:v>P1</x:v>
      </x:c>
      <x:c r="J15" s="41" t="str">
        <x:v>5</x:v>
      </x:c>
      <x:c r="K15" s="43" t="str">
        <x:v>41.9</x:v>
      </x:c>
      <x:c r="L15" s="45" t="str">
        <x:v>68169</x:v>
      </x:c>
      <x:c r="M15" s="39" t="str">
        <x:v>HOLD</x:v>
      </x:c>
      <x:c r="N15" s="39" t="str">
        <x:v>Quality franchise but industrial allocation already broad</x:v>
      </x:c>
      <x:c r="O15" s="39" t="str">
        <x:v>Excluded after 60-stock rebalance</x:v>
      </x:c>
      <x:c r="P15" s="39" t="str">
        <x:v>Master 50 OUT</x:v>
      </x:c>
      <x:c r="Q15" s="39" t="str">
        <x:v>portfolio_export (14).csv</x:v>
      </x:c>
    </x:row>
    <x:row r="16">
      <x:c r="A16" s="39" t="n">
        <x:v>12</x:v>
      </x:c>
      <x:c r="B16" s="39" t="str">
        <x:v>RAINBOW</x:v>
      </x:c>
      <x:c r="C16" s="39" t="str">
        <x:v>OUT</x:v>
      </x:c>
      <x:c r="D16" s="39" t="str">
        <x:v>Other / Unclassified</x:v>
      </x:c>
      <x:c r="E16" s="39" t="str">
        <x:v>—</x:v>
      </x:c>
      <x:c r="F16" s="39" t="str">
        <x:v>Yes</x:v>
      </x:c>
      <x:c r="G16" s="39" t="str"/>
      <x:c r="H16" s="39" t="str"/>
      <x:c r="I16" s="39" t="str">
        <x:v>P1</x:v>
      </x:c>
      <x:c r="J16" s="41" t="str">
        <x:v>4</x:v>
      </x:c>
      <x:c r="K16" s="43" t="str">
        <x:v>52.0</x:v>
      </x:c>
      <x:c r="L16" s="45" t="str">
        <x:v>14751</x:v>
      </x:c>
      <x:c r="M16" s="39" t="str">
        <x:v>HOLD</x:v>
      </x:c>
      <x:c r="N16" s="39" t="str">
        <x:v>Healthcare growth but limited portfolio space</x:v>
      </x:c>
      <x:c r="O16" s="39" t="str">
        <x:v>Excluded after 60-stock rebalance</x:v>
      </x:c>
      <x:c r="P16" s="39" t="str">
        <x:v>Master 50 OUT</x:v>
      </x:c>
      <x:c r="Q16" s="39" t="str">
        <x:v>portfolio_export (14).csv</x:v>
      </x:c>
    </x:row>
    <x:row r="17">
      <x:c r="A17" s="39" t="n">
        <x:v>13</x:v>
      </x:c>
      <x:c r="B17" s="39" t="str">
        <x:v>HYUNDAI</x:v>
      </x:c>
      <x:c r="C17" s="39" t="str">
        <x:v>OUT</x:v>
      </x:c>
      <x:c r="D17" s="39" t="str">
        <x:v>Other / Unclassified</x:v>
      </x:c>
      <x:c r="E17" s="39" t="str">
        <x:v>—</x:v>
      </x:c>
      <x:c r="F17" s="39" t="str">
        <x:v>Yes</x:v>
      </x:c>
      <x:c r="G17" s="39" t="str"/>
      <x:c r="H17" s="39" t="str"/>
      <x:c r="I17" s="39" t="str">
        <x:v>P1</x:v>
      </x:c>
      <x:c r="J17" s="41" t="str">
        <x:v>3</x:v>
      </x:c>
      <x:c r="K17" s="43" t="str">
        <x:v>35.4</x:v>
      </x:c>
      <x:c r="L17" s="45" t="str">
        <x:v>174696</x:v>
      </x:c>
      <x:c r="M17" s="39" t="str">
        <x:v>HOLD</x:v>
      </x:c>
      <x:c r="N17" s="39" t="str">
        <x:v>Auto overlap</x:v>
      </x:c>
      <x:c r="O17" s="39" t="str">
        <x:v>Excluded after 60-stock rebalance</x:v>
      </x:c>
      <x:c r="P17" s="39" t="str">
        <x:v>Master 50 OUT</x:v>
      </x:c>
      <x:c r="Q17" s="39" t="str">
        <x:v>portfolio_export (14).csv</x:v>
      </x:c>
    </x:row>
    <x:row r="18">
      <x:c r="A18" s="39" t="n">
        <x:v>14</x:v>
      </x:c>
      <x:c r="B18" s="39" t="str">
        <x:v>ASIANPAINT</x:v>
      </x:c>
      <x:c r="C18" s="39" t="str">
        <x:v>OUT</x:v>
      </x:c>
      <x:c r="D18" s="39" t="str">
        <x:v>Other / Unclassified</x:v>
      </x:c>
      <x:c r="E18" s="39" t="str">
        <x:v>—</x:v>
      </x:c>
      <x:c r="F18" s="39" t="str">
        <x:v>Yes</x:v>
      </x:c>
      <x:c r="G18" s="39" t="str"/>
      <x:c r="H18" s="39" t="str"/>
      <x:c r="I18" s="39" t="str">
        <x:v>P1</x:v>
      </x:c>
      <x:c r="J18" s="41" t="str">
        <x:v>2</x:v>
      </x:c>
      <x:c r="K18" s="43" t="str">
        <x:v>48.6</x:v>
      </x:c>
      <x:c r="L18" s="45" t="str">
        <x:v>232375</x:v>
      </x:c>
      <x:c r="M18" s="39" t="str">
        <x:v>HOLD</x:v>
      </x:c>
      <x:c r="N18" s="39" t="str">
        <x:v>Mature consumer position; lower priority</x:v>
      </x:c>
      <x:c r="O18" s="39" t="str">
        <x:v>Excluded after 60-stock rebalance</x:v>
      </x:c>
      <x:c r="P18" s="39" t="str">
        <x:v>Master 50 OUT</x:v>
      </x:c>
      <x:c r="Q18" s="39" t="str">
        <x:v>portfolio_export (14).csv</x:v>
      </x:c>
    </x:row>
    <x:row r="19">
      <x:c r="A19" s="39" t="n">
        <x:v>15</x:v>
      </x:c>
      <x:c r="B19" s="39" t="str">
        <x:v>DRREDDY</x:v>
      </x:c>
      <x:c r="C19" s="39" t="str">
        <x:v>OUT</x:v>
      </x:c>
      <x:c r="D19" s="39" t="str">
        <x:v>Healthcare / Pharma</x:v>
      </x:c>
      <x:c r="E19" s="39" t="str">
        <x:v>—</x:v>
      </x:c>
      <x:c r="F19" s="39" t="str">
        <x:v>Yes</x:v>
      </x:c>
      <x:c r="G19" s="39" t="str"/>
      <x:c r="H19" s="39" t="str"/>
      <x:c r="I19" s="39" t="str">
        <x:v>P1</x:v>
      </x:c>
      <x:c r="J19" s="41" t="str">
        <x:v>2</x:v>
      </x:c>
      <x:c r="K19" s="43" t="str">
        <x:v>29.5</x:v>
      </x:c>
      <x:c r="L19" s="45" t="str">
        <x:v>1009</x:v>
      </x:c>
      <x:c r="M19" s="39" t="str">
        <x:v>HOLD</x:v>
      </x:c>
      <x:c r="N19" s="39" t="str">
        <x:v>Pharma overlap</x:v>
      </x:c>
      <x:c r="O19" s="39" t="str">
        <x:v>Excluded after 60-stock rebalance</x:v>
      </x:c>
      <x:c r="P19" s="39" t="str">
        <x:v>Master 50 OUT</x:v>
      </x:c>
      <x:c r="Q19" s="39" t="str">
        <x:v>portfolio_export (14).csv</x:v>
      </x:c>
    </x:row>
    <x:row r="20">
      <x:c r="A20" s="39" t="n">
        <x:v>16</x:v>
      </x:c>
      <x:c r="B20" s="39" t="str">
        <x:v>LTM</x:v>
      </x:c>
      <x:c r="C20" s="39" t="str">
        <x:v>OUT</x:v>
      </x:c>
      <x:c r="D20" s="39" t="str">
        <x:v>Other / Unclassified</x:v>
      </x:c>
      <x:c r="E20" s="39" t="str">
        <x:v>C</x:v>
      </x:c>
      <x:c r="F20" s="39" t="str">
        <x:v>Yes</x:v>
      </x:c>
      <x:c r="G20" s="39" t="str">
        <x:v>Yes</x:v>
      </x:c>
      <x:c r="H20" s="39" t="str"/>
      <x:c r="I20" s="39" t="str">
        <x:v>P1</x:v>
      </x:c>
      <x:c r="J20" s="41" t="str">
        <x:v>1</x:v>
      </x:c>
      <x:c r="K20" s="43" t="str">
        <x:v>0.0</x:v>
      </x:c>
      <x:c r="L20" s="45" t="str">
        <x:v>128872</x:v>
      </x:c>
      <x:c r="M20" s="39" t="str">
        <x:v>HOLD</x:v>
      </x:c>
      <x:c r="N20" s="39" t="str">
        <x:v>IT overlap</x:v>
      </x:c>
      <x:c r="O20" s="39" t="str">
        <x:v>Excluded after 60-stock rebalance</x:v>
      </x:c>
      <x:c r="P20" s="39" t="str">
        <x:v>Master 50 OUT</x:v>
      </x:c>
      <x:c r="Q20" s="39" t="str">
        <x:v>portfolio_export (14).csv</x:v>
      </x:c>
    </x:row>
    <x:row r="21">
      <x:c r="A21" s="39" t="n">
        <x:v>17</x:v>
      </x:c>
      <x:c r="B21" s="39" t="str">
        <x:v>ADANIENT</x:v>
      </x:c>
      <x:c r="C21" s="39" t="str">
        <x:v>OUT</x:v>
      </x:c>
      <x:c r="D21" s="39" t="str">
        <x:v>Other / Unclassified</x:v>
      </x:c>
      <x:c r="E21" s="39" t="str">
        <x:v>—</x:v>
      </x:c>
      <x:c r="F21" s="39" t="str">
        <x:v>Yes</x:v>
      </x:c>
      <x:c r="G21" s="39" t="str"/>
      <x:c r="H21" s="39" t="str"/>
      <x:c r="I21" s="39" t="str">
        <x:v>P2</x:v>
      </x:c>
      <x:c r="J21" s="41" t="str">
        <x:v>4</x:v>
      </x:c>
      <x:c r="K21" s="43" t="str">
        <x:v>47.1</x:v>
      </x:c>
      <x:c r="L21" s="45" t="str">
        <x:v>420576</x:v>
      </x:c>
      <x:c r="M21" s="39" t="str">
        <x:v>HOLD</x:v>
      </x:c>
      <x:c r="N21" s="39" t="str">
        <x:v>Portfolio concentration/complexity</x:v>
      </x:c>
      <x:c r="O21" s="39" t="str">
        <x:v>Excluded after 60-stock rebalance</x:v>
      </x:c>
      <x:c r="P21" s="39" t="str">
        <x:v>Master 50 OUT</x:v>
      </x:c>
      <x:c r="Q21" s="39" t="str">
        <x:v>portfolio_export (14).csv</x:v>
      </x:c>
    </x:row>
    <x:row r="22">
      <x:c r="A22" s="39" t="n">
        <x:v>18</x:v>
      </x:c>
      <x:c r="B22" s="39" t="str">
        <x:v>ADANIGREEN</x:v>
      </x:c>
      <x:c r="C22" s="39" t="str">
        <x:v>OUT</x:v>
      </x:c>
      <x:c r="D22" s="39" t="str">
        <x:v>Other / Unclassified</x:v>
      </x:c>
      <x:c r="E22" s="39" t="str">
        <x:v>—</x:v>
      </x:c>
      <x:c r="F22" s="39" t="str">
        <x:v>Yes</x:v>
      </x:c>
      <x:c r="G22" s="39" t="str"/>
      <x:c r="H22" s="39" t="str"/>
      <x:c r="I22" s="39" t="str">
        <x:v>P2</x:v>
      </x:c>
      <x:c r="J22" s="41" t="str">
        <x:v>3</x:v>
      </x:c>
      <x:c r="K22" s="43" t="str">
        <x:v>116.0</x:v>
      </x:c>
      <x:c r="L22" s="45" t="str">
        <x:v>205974</x:v>
      </x:c>
      <x:c r="M22" s="39" t="str">
        <x:v>HOLD</x:v>
      </x:c>
      <x:c r="N22" s="39" t="str">
        <x:v>Renewable overlap with WAAREE</x:v>
      </x:c>
      <x:c r="O22" s="39" t="str">
        <x:v>Excluded after 60-stock rebalance</x:v>
      </x:c>
      <x:c r="P22" s="39" t="str">
        <x:v>Master 50 OUT</x:v>
      </x:c>
      <x:c r="Q22" s="39" t="str">
        <x:v>portfolio_export (14).csv</x:v>
      </x:c>
    </x:row>
    <x:row r="23">
      <x:c r="A23" s="39" t="n">
        <x:v>19</x:v>
      </x:c>
      <x:c r="B23" s="39" t="str">
        <x:v>ADANIPORTS</x:v>
      </x:c>
      <x:c r="C23" s="39" t="str">
        <x:v>OUT</x:v>
      </x:c>
      <x:c r="D23" s="39" t="str">
        <x:v>Other / Unclassified</x:v>
      </x:c>
      <x:c r="E23" s="39" t="str">
        <x:v>—</x:v>
      </x:c>
      <x:c r="F23" s="39" t="str">
        <x:v>Yes</x:v>
      </x:c>
      <x:c r="G23" s="39" t="str"/>
      <x:c r="H23" s="39" t="str"/>
      <x:c r="I23" s="39" t="str">
        <x:v>P2</x:v>
      </x:c>
      <x:c r="J23" s="41" t="str">
        <x:v>3</x:v>
      </x:c>
      <x:c r="K23" s="43" t="str">
        <x:v>29.4</x:v>
      </x:c>
      <x:c r="L23" s="45" t="str">
        <x:v>372998</x:v>
      </x:c>
      <x:c r="M23" s="39" t="str">
        <x:v>HOLD</x:v>
      </x:c>
      <x:c r="N23" s="39" t="str">
        <x:v>Lower priority within 50</x:v>
      </x:c>
      <x:c r="O23" s="39" t="str">
        <x:v>Excluded after 60-stock rebalance</x:v>
      </x:c>
      <x:c r="P23" s="39" t="str">
        <x:v>Master 50 OUT</x:v>
      </x:c>
      <x:c r="Q23" s="39" t="str">
        <x:v>portfolio_export (14).csv</x:v>
      </x:c>
    </x:row>
    <x:row r="24">
      <x:c r="A24" s="39" t="n">
        <x:v>20</x:v>
      </x:c>
      <x:c r="B24" s="39" t="str">
        <x:v>BANDHANBNK</x:v>
      </x:c>
      <x:c r="C24" s="39" t="str">
        <x:v>OUT</x:v>
      </x:c>
      <x:c r="D24" s="39" t="str">
        <x:v>Other / Unclassified</x:v>
      </x:c>
      <x:c r="E24" s="39" t="str">
        <x:v>—</x:v>
      </x:c>
      <x:c r="F24" s="39" t="str">
        <x:v>Yes</x:v>
      </x:c>
      <x:c r="G24" s="39" t="str"/>
      <x:c r="H24" s="39" t="str"/>
      <x:c r="I24" s="39" t="str">
        <x:v>P2</x:v>
      </x:c>
      <x:c r="J24" s="41" t="str">
        <x:v>99</x:v>
      </x:c>
      <x:c r="K24" s="43" t="str">
        <x:v>20.6</x:v>
      </x:c>
      <x:c r="L24" s="45" t="str">
        <x:v>27706</x:v>
      </x:c>
      <x:c r="M24" s="39" t="str">
        <x:v>HOLD</x:v>
      </x:c>
      <x:c r="N24" s="39" t="str">
        <x:v>Higher banking-risk profile</x:v>
      </x:c>
      <x:c r="O24" s="39" t="str">
        <x:v>Excluded after 60-stock rebalance</x:v>
      </x:c>
      <x:c r="P24" s="39" t="str">
        <x:v>Master 50 OUT</x:v>
      </x:c>
      <x:c r="Q24" s="39" t="str">
        <x:v>portfolio_export (14).csv</x:v>
      </x:c>
    </x:row>
    <x:row r="25">
      <x:c r="A25" s="39" t="n">
        <x:v>21</x:v>
      </x:c>
      <x:c r="B25" s="39" t="str">
        <x:v>BEML</x:v>
      </x:c>
      <x:c r="C25" s="39" t="str">
        <x:v>OUT</x:v>
      </x:c>
      <x:c r="D25" s="39" t="str">
        <x:v>Other / Unclassified</x:v>
      </x:c>
      <x:c r="E25" s="39" t="str">
        <x:v>—</x:v>
      </x:c>
      <x:c r="F25" s="39" t="str">
        <x:v>Yes</x:v>
      </x:c>
      <x:c r="G25" s="39" t="str"/>
      <x:c r="H25" s="39" t="str"/>
      <x:c r="I25" s="39" t="str">
        <x:v>P2</x:v>
      </x:c>
      <x:c r="J25" s="41" t="str">
        <x:v>2</x:v>
      </x:c>
      <x:c r="K25" s="43" t="str">
        <x:v>93.2</x:v>
      </x:c>
      <x:c r="L25" s="45" t="str">
        <x:v>16641</x:v>
      </x:c>
      <x:c r="M25" s="39" t="str">
        <x:v>HOLD</x:v>
      </x:c>
      <x:c r="N25" s="39" t="str">
        <x:v>Defence/railway overlap</x:v>
      </x:c>
      <x:c r="O25" s="39" t="str">
        <x:v>Excluded after 60-stock rebalance</x:v>
      </x:c>
      <x:c r="P25" s="39" t="str">
        <x:v>Master 50 OUT</x:v>
      </x:c>
      <x:c r="Q25" s="39" t="str">
        <x:v>portfolio_export (14).csv</x:v>
      </x:c>
    </x:row>
    <x:row r="26">
      <x:c r="A26" s="39" t="n">
        <x:v>22</x:v>
      </x:c>
      <x:c r="B26" s="39" t="str">
        <x:v>COLPAL</x:v>
      </x:c>
      <x:c r="C26" s="39" t="str">
        <x:v>OUT</x:v>
      </x:c>
      <x:c r="D26" s="39" t="str">
        <x:v>Other / Unclassified</x:v>
      </x:c>
      <x:c r="E26" s="39" t="str">
        <x:v>—</x:v>
      </x:c>
      <x:c r="F26" s="39" t="str">
        <x:v>Yes</x:v>
      </x:c>
      <x:c r="G26" s="39" t="str"/>
      <x:c r="H26" s="39" t="str"/>
      <x:c r="I26" s="39" t="str">
        <x:v>P2</x:v>
      </x:c>
      <x:c r="J26" s="41" t="str">
        <x:v>3</x:v>
      </x:c>
      <x:c r="K26" s="43" t="str">
        <x:v>37.5</x:v>
      </x:c>
      <x:c r="L26" s="45" t="str">
        <x:v>50678</x:v>
      </x:c>
      <x:c r="M26" s="39" t="str">
        <x:v>HOLD</x:v>
      </x:c>
      <x:c r="N26" s="39" t="str">
        <x:v>FMCG overlap</x:v>
      </x:c>
      <x:c r="O26" s="39" t="str">
        <x:v>Excluded after 60-stock rebalance</x:v>
      </x:c>
      <x:c r="P26" s="39" t="str">
        <x:v>Master 50 OUT</x:v>
      </x:c>
      <x:c r="Q26" s="39" t="str">
        <x:v>portfolio_export (14).csv</x:v>
      </x:c>
    </x:row>
    <x:row r="27">
      <x:c r="A27" s="39" t="n">
        <x:v>23</x:v>
      </x:c>
      <x:c r="B27" s="39" t="str">
        <x:v>IEX</x:v>
      </x:c>
      <x:c r="C27" s="39" t="str">
        <x:v>OUT</x:v>
      </x:c>
      <x:c r="D27" s="39" t="str">
        <x:v>Other / Unclassified</x:v>
      </x:c>
      <x:c r="E27" s="39" t="str">
        <x:v>—</x:v>
      </x:c>
      <x:c r="F27" s="39" t="str">
        <x:v>Yes</x:v>
      </x:c>
      <x:c r="G27" s="39" t="str"/>
      <x:c r="H27" s="39" t="str"/>
      <x:c r="I27" s="39" t="str">
        <x:v>P2</x:v>
      </x:c>
      <x:c r="J27" s="41" t="str">
        <x:v>47</x:v>
      </x:c>
      <x:c r="K27" s="43" t="str">
        <x:v>19.6</x:v>
      </x:c>
      <x:c r="L27" s="45" t="str">
        <x:v>9940</x:v>
      </x:c>
      <x:c r="M27" s="39" t="str">
        <x:v>SELL ON RALLY</x:v>
      </x:c>
      <x:c r="N27" s="39" t="str">
        <x:v>Power-market exposure already represented elsewhere</x:v>
      </x:c>
      <x:c r="O27" s="39" t="str">
        <x:v>Excluded after 60-stock rebalance</x:v>
      </x:c>
      <x:c r="P27" s="39" t="str">
        <x:v>Master 50 OUT</x:v>
      </x:c>
      <x:c r="Q27" s="39" t="str">
        <x:v>portfolio_export (14).csv</x:v>
      </x:c>
    </x:row>
    <x:row r="28">
      <x:c r="A28" s="39" t="n">
        <x:v>24</x:v>
      </x:c>
      <x:c r="B28" s="39" t="str">
        <x:v>INDIAMART</x:v>
      </x:c>
      <x:c r="C28" s="39" t="str">
        <x:v>OUT</x:v>
      </x:c>
      <x:c r="D28" s="39" t="str">
        <x:v>Other / Unclassified</x:v>
      </x:c>
      <x:c r="E28" s="39" t="str">
        <x:v>—</x:v>
      </x:c>
      <x:c r="F28" s="39" t="str">
        <x:v>Yes</x:v>
      </x:c>
      <x:c r="G28" s="39" t="str"/>
      <x:c r="H28" s="39" t="str"/>
      <x:c r="I28" s="39" t="str">
        <x:v>P2</x:v>
      </x:c>
      <x:c r="J28" s="41" t="str">
        <x:v>4</x:v>
      </x:c>
      <x:c r="K28" s="43" t="str">
        <x:v>20.9</x:v>
      </x:c>
      <x:c r="L28" s="45" t="str">
        <x:v>10270</x:v>
      </x:c>
      <x:c r="M28" s="39" t="str">
        <x:v>BUY</x:v>
      </x:c>
      <x:c r="N28" s="39" t="str">
        <x:v>Platform business, but lower basket priority</x:v>
      </x:c>
      <x:c r="O28" s="39" t="str">
        <x:v>Excluded after 60-stock rebalance</x:v>
      </x:c>
      <x:c r="P28" s="39" t="str">
        <x:v>Master 50 OUT</x:v>
      </x:c>
      <x:c r="Q28" s="39" t="str">
        <x:v>portfolio_export (14).csv</x:v>
      </x:c>
    </x:row>
    <x:row r="29">
      <x:c r="A29" s="39" t="n">
        <x:v>25</x:v>
      </x:c>
      <x:c r="B29" s="39" t="str">
        <x:v>IRCON</x:v>
      </x:c>
      <x:c r="C29" s="39" t="str">
        <x:v>OUT</x:v>
      </x:c>
      <x:c r="D29" s="39" t="str">
        <x:v>Other / Unclassified</x:v>
      </x:c>
      <x:c r="E29" s="39" t="str">
        <x:v>—</x:v>
      </x:c>
      <x:c r="F29" s="39" t="str">
        <x:v>Yes</x:v>
      </x:c>
      <x:c r="G29" s="39" t="str"/>
      <x:c r="H29" s="39" t="str"/>
      <x:c r="I29" s="39" t="str">
        <x:v>P2</x:v>
      </x:c>
      <x:c r="J29" s="41" t="str">
        <x:v>50</x:v>
      </x:c>
      <x:c r="K29" s="43" t="str">
        <x:v>19.4</x:v>
      </x:c>
      <x:c r="L29" s="45" t="str">
        <x:v>10214</x:v>
      </x:c>
      <x:c r="M29" s="39" t="str">
        <x:v>HOLD</x:v>
      </x:c>
      <x:c r="N29" s="39" t="str">
        <x:v>Railway exposure already represented</x:v>
      </x:c>
      <x:c r="O29" s="39" t="str">
        <x:v>Excluded after 60-stock rebalance</x:v>
      </x:c>
      <x:c r="P29" s="39" t="str">
        <x:v>Master 50 OUT</x:v>
      </x:c>
      <x:c r="Q29" s="39" t="str">
        <x:v>portfolio_export (14).csv</x:v>
      </x:c>
    </x:row>
    <x:row r="30">
      <x:c r="A30" s="39" t="n">
        <x:v>26</x:v>
      </x:c>
      <x:c r="B30" s="39" t="str">
        <x:v>JWL</x:v>
      </x:c>
      <x:c r="C30" s="39" t="str">
        <x:v>OUT</x:v>
      </x:c>
      <x:c r="D30" s="39" t="str">
        <x:v>Other / Unclassified</x:v>
      </x:c>
      <x:c r="E30" s="39" t="str">
        <x:v>—</x:v>
      </x:c>
      <x:c r="F30" s="39" t="str">
        <x:v>Yes</x:v>
      </x:c>
      <x:c r="G30" s="39" t="str"/>
      <x:c r="H30" s="39" t="str"/>
      <x:c r="I30" s="39" t="str">
        <x:v>P2</x:v>
      </x:c>
      <x:c r="J30" s="41" t="str">
        <x:v>5</x:v>
      </x:c>
      <x:c r="K30" s="43" t="str">
        <x:v>0.0</x:v>
      </x:c>
      <x:c r="L30" s="45" t="str">
        <x:v>9880</x:v>
      </x:c>
      <x:c r="M30" s="39" t="str">
        <x:v>BUY</x:v>
      </x:c>
      <x:c r="N30" s="39" t="str">
        <x:v>Higher-risk railway theme</x:v>
      </x:c>
      <x:c r="O30" s="39" t="str">
        <x:v>Excluded after 60-stock rebalance</x:v>
      </x:c>
      <x:c r="P30" s="39" t="str">
        <x:v>Master 50 OUT</x:v>
      </x:c>
      <x:c r="Q30" s="39" t="str">
        <x:v>portfolio_export (14).csv</x:v>
      </x:c>
    </x:row>
    <x:row r="31">
      <x:c r="A31" s="39" t="n">
        <x:v>27</x:v>
      </x:c>
      <x:c r="B31" s="39" t="str">
        <x:v>KALAMANDIR</x:v>
      </x:c>
      <x:c r="C31" s="39" t="str">
        <x:v>OUT</x:v>
      </x:c>
      <x:c r="D31" s="39" t="str">
        <x:v>Other / Unclassified</x:v>
      </x:c>
      <x:c r="E31" s="39" t="str">
        <x:v>—</x:v>
      </x:c>
      <x:c r="F31" s="39" t="str">
        <x:v>Yes</x:v>
      </x:c>
      <x:c r="G31" s="39" t="str"/>
      <x:c r="H31" s="39" t="str"/>
      <x:c r="I31" s="39" t="str">
        <x:v>P2</x:v>
      </x:c>
      <x:c r="J31" s="41" t="str">
        <x:v>20</x:v>
      </x:c>
      <x:c r="K31" s="43" t="str">
        <x:v>8.4</x:v>
      </x:c>
      <x:c r="L31" s="45" t="str">
        <x:v>1149</x:v>
      </x:c>
      <x:c r="M31" s="39" t="str">
        <x:v>SELL ON RALLY</x:v>
      </x:c>
      <x:c r="N31" s="39" t="str">
        <x:v>Smaller retail franchise</x:v>
      </x:c>
      <x:c r="O31" s="39" t="str">
        <x:v>Excluded after 60-stock rebalance</x:v>
      </x:c>
      <x:c r="P31" s="39" t="str">
        <x:v>Master 50 OUT</x:v>
      </x:c>
      <x:c r="Q31" s="39" t="str">
        <x:v>portfolio_export (14).csv</x:v>
      </x:c>
    </x:row>
    <x:row r="32">
      <x:c r="A32" s="39" t="n">
        <x:v>28</x:v>
      </x:c>
      <x:c r="B32" s="39" t="str">
        <x:v>OLAELEC</x:v>
      </x:c>
      <x:c r="C32" s="39" t="str">
        <x:v>OUT</x:v>
      </x:c>
      <x:c r="D32" s="39" t="str">
        <x:v>Other / Unclassified</x:v>
      </x:c>
      <x:c r="E32" s="39" t="str">
        <x:v>—</x:v>
      </x:c>
      <x:c r="F32" s="39" t="str">
        <x:v>Yes</x:v>
      </x:c>
      <x:c r="G32" s="39" t="str"/>
      <x:c r="H32" s="39" t="str"/>
      <x:c r="I32" s="39" t="str">
        <x:v>P2</x:v>
      </x:c>
      <x:c r="J32" s="41" t="str">
        <x:v>110</x:v>
      </x:c>
      <x:c r="K32" s="43" t="str">
        <x:v>0.0</x:v>
      </x:c>
      <x:c r="L32" s="45" t="str">
        <x:v>15717</x:v>
      </x:c>
      <x:c r="M32" s="39" t="str">
        <x:v>SELL ON RALLY</x:v>
      </x:c>
      <x:c r="N32" s="39" t="str">
        <x:v>High execution/competition risk</x:v>
      </x:c>
      <x:c r="O32" s="39" t="str">
        <x:v>Excluded after 60-stock rebalance</x:v>
      </x:c>
      <x:c r="P32" s="39" t="str">
        <x:v>Master 50 OUT</x:v>
      </x:c>
      <x:c r="Q32" s="39" t="str">
        <x:v>portfolio_export (14).csv</x:v>
      </x:c>
    </x:row>
    <x:row r="33">
      <x:c r="A33" s="39" t="n">
        <x:v>29</x:v>
      </x:c>
      <x:c r="B33" s="39" t="str">
        <x:v>OLECTRA</x:v>
      </x:c>
      <x:c r="C33" s="39" t="str">
        <x:v>OUT</x:v>
      </x:c>
      <x:c r="D33" s="39" t="str">
        <x:v>Other / Unclassified</x:v>
      </x:c>
      <x:c r="E33" s="39" t="str">
        <x:v>—</x:v>
      </x:c>
      <x:c r="F33" s="39" t="str">
        <x:v>Yes</x:v>
      </x:c>
      <x:c r="G33" s="39" t="str"/>
      <x:c r="H33" s="39" t="str"/>
      <x:c r="I33" s="39" t="str">
        <x:v>P2</x:v>
      </x:c>
      <x:c r="J33" s="41" t="str">
        <x:v>5</x:v>
      </x:c>
      <x:c r="K33" s="43" t="str">
        <x:v>54.1</x:v>
      </x:c>
      <x:c r="L33" s="45" t="str">
        <x:v>9603</x:v>
      </x:c>
      <x:c r="M33" s="39" t="str">
        <x:v>HOLD</x:v>
      </x:c>
      <x:c r="N33" s="39" t="str">
        <x:v>EV/bus thematic overlap</x:v>
      </x:c>
      <x:c r="O33" s="39" t="str">
        <x:v>Excluded after 60-stock rebalance</x:v>
      </x:c>
      <x:c r="P33" s="39" t="str">
        <x:v>Master 50 OUT</x:v>
      </x:c>
      <x:c r="Q33" s="39" t="str">
        <x:v>portfolio_export (14).csv</x:v>
      </x:c>
    </x:row>
    <x:row r="34">
      <x:c r="A34" s="39" t="n">
        <x:v>30</x:v>
      </x:c>
      <x:c r="B34" s="39" t="str">
        <x:v>PNGJL</x:v>
      </x:c>
      <x:c r="C34" s="39" t="str">
        <x:v>OUT</x:v>
      </x:c>
      <x:c r="D34" s="39" t="str">
        <x:v>Other / Unclassified</x:v>
      </x:c>
      <x:c r="E34" s="39" t="str">
        <x:v>—</x:v>
      </x:c>
      <x:c r="F34" s="39" t="str">
        <x:v>Yes</x:v>
      </x:c>
      <x:c r="G34" s="39" t="str"/>
      <x:c r="H34" s="39" t="str"/>
      <x:c r="I34" s="39" t="str">
        <x:v>P2</x:v>
      </x:c>
      <x:c r="J34" s="41" t="str">
        <x:v>6</x:v>
      </x:c>
      <x:c r="K34" s="43" t="str">
        <x:v>18.5</x:v>
      </x:c>
      <x:c r="L34" s="45" t="str">
        <x:v>8965</x:v>
      </x:c>
      <x:c r="M34" s="39" t="str">
        <x:v>HOLD</x:v>
      </x:c>
      <x:c r="N34" s="39" t="str">
        <x:v>Smaller growth position</x:v>
      </x:c>
      <x:c r="O34" s="39" t="str">
        <x:v>Excluded after 60-stock rebalance</x:v>
      </x:c>
      <x:c r="P34" s="39" t="str">
        <x:v>Master 50 OUT</x:v>
      </x:c>
      <x:c r="Q34" s="39" t="str">
        <x:v>portfolio_export (14).csv</x:v>
      </x:c>
    </x:row>
    <x:row r="35">
      <x:c r="A35" s="39" t="n">
        <x:v>31</x:v>
      </x:c>
      <x:c r="B35" s="39" t="str">
        <x:v>RELINFRA</x:v>
      </x:c>
      <x:c r="C35" s="39" t="str">
        <x:v>OUT</x:v>
      </x:c>
      <x:c r="D35" s="39" t="str">
        <x:v>Other / Unclassified</x:v>
      </x:c>
      <x:c r="E35" s="39" t="str">
        <x:v>—</x:v>
      </x:c>
      <x:c r="F35" s="39" t="str">
        <x:v>Yes</x:v>
      </x:c>
      <x:c r="G35" s="39" t="str"/>
      <x:c r="H35" s="39" t="str"/>
      <x:c r="I35" s="39" t="str">
        <x:v>P2</x:v>
      </x:c>
      <x:c r="J35" s="41" t="str">
        <x:v>22</x:v>
      </x:c>
      <x:c r="K35" s="43" t="str">
        <x:v>0.7</x:v>
      </x:c>
      <x:c r="L35" s="45" t="str">
        <x:v>2104</x:v>
      </x:c>
      <x:c r="M35" s="39" t="str">
        <x:v>EXIT NOW</x:v>
      </x:c>
      <x:c r="N35" s="39" t="str">
        <x:v>Does not fit final quality framework</x:v>
      </x:c>
      <x:c r="O35" s="39" t="str">
        <x:v>Excluded after 60-stock rebalance</x:v>
      </x:c>
      <x:c r="P35" s="39" t="str">
        <x:v>Master 50 OUT</x:v>
      </x:c>
      <x:c r="Q35" s="39" t="str">
        <x:v>portfolio_export (14).csv</x:v>
      </x:c>
    </x:row>
    <x:row r="36">
      <x:c r="A36" s="39" t="n">
        <x:v>32</x:v>
      </x:c>
      <x:c r="B36" s="39" t="str">
        <x:v>RVNL</x:v>
      </x:c>
      <x:c r="C36" s="39" t="str">
        <x:v>OUT</x:v>
      </x:c>
      <x:c r="D36" s="39" t="str">
        <x:v>Other / Unclassified</x:v>
      </x:c>
      <x:c r="E36" s="39" t="str">
        <x:v>—</x:v>
      </x:c>
      <x:c r="F36" s="39" t="str">
        <x:v>Yes</x:v>
      </x:c>
      <x:c r="G36" s="39" t="str"/>
      <x:c r="H36" s="39" t="str"/>
      <x:c r="I36" s="39" t="str">
        <x:v>P2</x:v>
      </x:c>
      <x:c r="J36" s="41" t="str">
        <x:v>8</x:v>
      </x:c>
      <x:c r="K36" s="43" t="str">
        <x:v>45.9</x:v>
      </x:c>
      <x:c r="L36" s="45" t="str">
        <x:v>41115</x:v>
      </x:c>
      <x:c r="M36" s="39" t="str">
        <x:v>SELL ON RALLY</x:v>
      </x:c>
      <x:c r="N36" s="39" t="str">
        <x:v>Railway-theme overlap</x:v>
      </x:c>
      <x:c r="O36" s="39" t="str">
        <x:v>Excluded after 60-stock rebalance</x:v>
      </x:c>
      <x:c r="P36" s="39" t="str">
        <x:v>Master 50 OUT</x:v>
      </x:c>
      <x:c r="Q36" s="39" t="str">
        <x:v>portfolio_export (14).csv</x:v>
      </x:c>
    </x:row>
    <x:row r="37">
      <x:c r="A37" s="39" t="n">
        <x:v>33</x:v>
      </x:c>
      <x:c r="B37" s="39" t="str">
        <x:v>SPICEJET</x:v>
      </x:c>
      <x:c r="C37" s="39" t="str">
        <x:v>OUT</x:v>
      </x:c>
      <x:c r="D37" s="39" t="str">
        <x:v>Other / Unclassified</x:v>
      </x:c>
      <x:c r="E37" s="39" t="str">
        <x:v>—</x:v>
      </x:c>
      <x:c r="F37" s="39" t="str">
        <x:v>Yes</x:v>
      </x:c>
      <x:c r="G37" s="39" t="str"/>
      <x:c r="H37" s="39" t="str"/>
      <x:c r="I37" s="39" t="str">
        <x:v>P2</x:v>
      </x:c>
      <x:c r="J37" s="41" t="str">
        <x:v>85</x:v>
      </x:c>
      <x:c r="K37" s="43" t="str">
        <x:v>0.0</x:v>
      </x:c>
      <x:c r="L37" s="45" t="str">
        <x:v>0</x:v>
      </x:c>
      <x:c r="M37" s="39" t="str">
        <x:v>HOLD</x:v>
      </x:c>
      <x:c r="N37" s="39" t="str">
        <x:v>Higher business risk</x:v>
      </x:c>
      <x:c r="O37" s="39" t="str">
        <x:v>Excluded after 60-stock rebalance</x:v>
      </x:c>
      <x:c r="P37" s="39" t="str">
        <x:v>Master 50 OUT</x:v>
      </x:c>
      <x:c r="Q37" s="39" t="str">
        <x:v>portfolio_export (14).csv</x:v>
      </x:c>
    </x:row>
    <x:row r="38">
      <x:c r="A38" s="39" t="n">
        <x:v>34</x:v>
      </x:c>
      <x:c r="B38" s="39" t="str">
        <x:v>SWIGGY</x:v>
      </x:c>
      <x:c r="C38" s="39" t="str">
        <x:v>OUT</x:v>
      </x:c>
      <x:c r="D38" s="39" t="str">
        <x:v>Other / Unclassified</x:v>
      </x:c>
      <x:c r="E38" s="39" t="str">
        <x:v>—</x:v>
      </x:c>
      <x:c r="F38" s="39" t="str">
        <x:v>Yes</x:v>
      </x:c>
      <x:c r="G38" s="39" t="str"/>
      <x:c r="H38" s="39" t="str"/>
      <x:c r="I38" s="39" t="str">
        <x:v>P2</x:v>
      </x:c>
      <x:c r="J38" s="41" t="str">
        <x:v>2</x:v>
      </x:c>
      <x:c r="K38" s="43" t="str">
        <x:v>0.0</x:v>
      </x:c>
      <x:c r="L38" s="45" t="str">
        <x:v>61836</x:v>
      </x:c>
      <x:c r="M38" s="39" t="str">
        <x:v>HOLD</x:v>
      </x:c>
      <x:c r="N38" s="39" t="str">
        <x:v>Developing growth story</x:v>
      </x:c>
      <x:c r="O38" s="39" t="str">
        <x:v>Excluded after 60-stock rebalance</x:v>
      </x:c>
      <x:c r="P38" s="39" t="str">
        <x:v>Master 50 OUT</x:v>
      </x:c>
      <x:c r="Q38" s="39" t="str">
        <x:v>portfolio_export (14).csv</x:v>
      </x:c>
    </x:row>
    <x:row r="39">
      <x:c r="A39" s="39" t="n">
        <x:v>35</x:v>
      </x:c>
      <x:c r="B39" s="39" t="str">
        <x:v>TATAPOWER</x:v>
      </x:c>
      <x:c r="C39" s="39" t="str">
        <x:v>OUT</x:v>
      </x:c>
      <x:c r="D39" s="39" t="str">
        <x:v>Other / Unclassified</x:v>
      </x:c>
      <x:c r="E39" s="39" t="str">
        <x:v>—</x:v>
      </x:c>
      <x:c r="F39" s="39" t="str">
        <x:v>Yes</x:v>
      </x:c>
      <x:c r="G39" s="39" t="str"/>
      <x:c r="H39" s="39" t="str"/>
      <x:c r="I39" s="39" t="str">
        <x:v>P2</x:v>
      </x:c>
      <x:c r="J39" s="41" t="str">
        <x:v>10</x:v>
      </x:c>
      <x:c r="K39" s="43" t="str">
        <x:v>29.9</x:v>
      </x:c>
      <x:c r="L39" s="45" t="str">
        <x:v>115160</x:v>
      </x:c>
      <x:c r="M39" s="39" t="str">
        <x:v>HOLD</x:v>
      </x:c>
      <x:c r="N39" s="39" t="str">
        <x:v>Power exposure already represented</x:v>
      </x:c>
      <x:c r="O39" s="39" t="str">
        <x:v>Excluded after 60-stock rebalance</x:v>
      </x:c>
      <x:c r="P39" s="39" t="str">
        <x:v>Master 50 OUT</x:v>
      </x:c>
      <x:c r="Q39" s="39" t="str">
        <x:v>portfolio_export (14).csv</x:v>
      </x:c>
    </x:row>
    <x:row r="40">
      <x:c r="A40" s="39" t="n">
        <x:v>36</x:v>
      </x:c>
      <x:c r="B40" s="39" t="str">
        <x:v>TITAGARH</x:v>
      </x:c>
      <x:c r="C40" s="39" t="str">
        <x:v>OUT</x:v>
      </x:c>
      <x:c r="D40" s="39" t="str">
        <x:v>Other / Unclassified</x:v>
      </x:c>
      <x:c r="E40" s="39" t="str">
        <x:v>—</x:v>
      </x:c>
      <x:c r="F40" s="39" t="str">
        <x:v>Yes</x:v>
      </x:c>
      <x:c r="G40" s="39" t="str"/>
      <x:c r="H40" s="39" t="str"/>
      <x:c r="I40" s="39" t="str">
        <x:v>P2</x:v>
      </x:c>
      <x:c r="J40" s="41" t="str">
        <x:v>5</x:v>
      </x:c>
      <x:c r="K40" s="43" t="str">
        <x:v>76.3</x:v>
      </x:c>
      <x:c r="L40" s="45" t="str">
        <x:v>10932</x:v>
      </x:c>
      <x:c r="M40" s="39" t="str">
        <x:v>HOLD</x:v>
      </x:c>
      <x:c r="N40" s="39" t="str">
        <x:v>Railway/industrial overlap</x:v>
      </x:c>
      <x:c r="O40" s="39" t="str">
        <x:v>Excluded after 60-stock rebalance</x:v>
      </x:c>
      <x:c r="P40" s="39" t="str">
        <x:v>Master 50 OUT</x:v>
      </x:c>
      <x:c r="Q40" s="39" t="str">
        <x:v>portfolio_export (14).csv</x:v>
      </x:c>
    </x:row>
    <x:row r="41">
      <x:c r="A41" s="39" t="n">
        <x:v>37</x:v>
      </x:c>
      <x:c r="B41" s="39" t="str">
        <x:v>TMCV</x:v>
      </x:c>
      <x:c r="C41" s="39" t="str">
        <x:v>OUT</x:v>
      </x:c>
      <x:c r="D41" s="39" t="str">
        <x:v>Other / Unclassified</x:v>
      </x:c>
      <x:c r="E41" s="39" t="str">
        <x:v>—</x:v>
      </x:c>
      <x:c r="F41" s="39" t="str">
        <x:v>Yes</x:v>
      </x:c>
      <x:c r="G41" s="39" t="str"/>
      <x:c r="H41" s="39" t="str"/>
      <x:c r="I41" s="39" t="str">
        <x:v>P2</x:v>
      </x:c>
      <x:c r="J41" s="41" t="str">
        <x:v>42</x:v>
      </x:c>
      <x:c r="K41" s="43" t="str">
        <x:v>37.4</x:v>
      </x:c>
      <x:c r="L41" s="45" t="str">
        <x:v>156922</x:v>
      </x:c>
      <x:c r="M41" s="39" t="str">
        <x:v>HOLD</x:v>
      </x:c>
      <x:c r="N41" s="39" t="str">
        <x:v>Auto allocation already sufficient</x:v>
      </x:c>
      <x:c r="O41" s="39" t="str">
        <x:v>Excluded after 60-stock rebalance</x:v>
      </x:c>
      <x:c r="P41" s="39" t="str">
        <x:v>Master 50 OUT</x:v>
      </x:c>
      <x:c r="Q41" s="39" t="str">
        <x:v>portfolio_export (14).csv</x:v>
      </x:c>
    </x:row>
    <x:row r="42">
      <x:c r="A42" s="39" t="n">
        <x:v>38</x:v>
      </x:c>
      <x:c r="B42" s="39" t="str">
        <x:v>TMPV</x:v>
      </x:c>
      <x:c r="C42" s="39" t="str">
        <x:v>OUT</x:v>
      </x:c>
      <x:c r="D42" s="39" t="str">
        <x:v>Other / Unclassified</x:v>
      </x:c>
      <x:c r="E42" s="39" t="str">
        <x:v>—</x:v>
      </x:c>
      <x:c r="F42" s="39" t="str">
        <x:v>Yes</x:v>
      </x:c>
      <x:c r="G42" s="39" t="str"/>
      <x:c r="H42" s="39" t="str"/>
      <x:c r="I42" s="39" t="str">
        <x:v>P2</x:v>
      </x:c>
      <x:c r="J42" s="41" t="str">
        <x:v>50</x:v>
      </x:c>
      <x:c r="K42" s="43" t="str">
        <x:v>0.0</x:v>
      </x:c>
      <x:c r="L42" s="45" t="str">
        <x:v>156922</x:v>
      </x:c>
      <x:c r="M42" s="39" t="str">
        <x:v>HOLD</x:v>
      </x:c>
      <x:c r="N42" s="39" t="str">
        <x:v>Auto overlap</x:v>
      </x:c>
      <x:c r="O42" s="39" t="str">
        <x:v>Excluded after 60-stock rebalance</x:v>
      </x:c>
      <x:c r="P42" s="39" t="str">
        <x:v>Master 50 OUT</x:v>
      </x:c>
      <x:c r="Q42" s="39" t="str">
        <x:v>portfolio_export (14).csv</x:v>
      </x:c>
    </x:row>
    <x:row r="43">
      <x:c r="A43" s="39" t="n">
        <x:v>39</x:v>
      </x:c>
      <x:c r="B43" s="39" t="str">
        <x:v>VBL</x:v>
      </x:c>
      <x:c r="C43" s="39" t="str">
        <x:v>OUT</x:v>
      </x:c>
      <x:c r="D43" s="39" t="str">
        <x:v>Other / Unclassified</x:v>
      </x:c>
      <x:c r="E43" s="39" t="str">
        <x:v>—</x:v>
      </x:c>
      <x:c r="F43" s="39" t="str"/>
      <x:c r="G43" s="39" t="str"/>
      <x:c r="H43" s="39" t="str"/>
      <x:c r="I43" s="39" t="str"/>
      <x:c r="J43" s="41" t="str"/>
      <x:c r="K43" s="43" t="str"/>
      <x:c r="L43" s="45" t="str"/>
      <x:c r="M43" s="39" t="str"/>
      <x:c r="N43" s="39" t="str">
        <x:v>Fully sold on 16-Sep-2026; current QTY is 0 in portfolio_export (12).csv.</x:v>
      </x:c>
      <x:c r="O43" s="39" t="str">
        <x:v>Excluded after 60-stock rebalance</x:v>
      </x:c>
      <x:c r="P43" s="39" t="str">
        <x:v>Master 50 OUT</x:v>
      </x:c>
      <x:c r="Q43" s="39" t="str"/>
    </x:row>
    <x:row r="44">
      <x:c r="A44" s="39" t="n">
        <x:v>40</x:v>
      </x:c>
      <x:c r="B44" s="39" t="str">
        <x:v>BSE</x:v>
      </x:c>
      <x:c r="C44" s="39" t="str">
        <x:v>OUT</x:v>
      </x:c>
      <x:c r="D44" s="39" t="str">
        <x:v>Financial Services</x:v>
      </x:c>
      <x:c r="E44" s="39" t="str">
        <x:v>C</x:v>
      </x:c>
      <x:c r="F44" s="39" t="str"/>
      <x:c r="G44" s="39" t="str">
        <x:v>Yes</x:v>
      </x:c>
      <x:c r="H44" s="39" t="str"/>
      <x:c r="I44" s="39" t="str"/>
      <x:c r="J44" s="41" t="str">
        <x:v>0</x:v>
      </x:c>
      <x:c r="K44" s="43" t="str">
        <x:v>47.1</x:v>
      </x:c>
      <x:c r="L44" s="45" t="str">
        <x:v>132576</x:v>
      </x:c>
      <x:c r="M44" s="39" t="str">
        <x:v>HOLD</x:v>
      </x:c>
      <x:c r="N44" s="39" t="str">
        <x:v>Financial-market infrastructure overlap with CDSL/MCX</x:v>
      </x:c>
      <x:c r="O44" s="39" t="str">
        <x:v>Excluded after 60-stock rebalance</x:v>
      </x:c>
      <x:c r="P44" s="39" t="str">
        <x:v>Master 50 OUT</x:v>
      </x:c>
      <x:c r="Q44" s="39" t="str">
        <x:v>portfolio_export (14).csv</x:v>
      </x:c>
    </x:row>
    <x:row r="45">
      <x:c r="A45" s="39" t="n">
        <x:v>41</x:v>
      </x:c>
      <x:c r="B45" s="39" t="str">
        <x:v>BRITANNIA</x:v>
      </x:c>
      <x:c r="C45" s="39" t="str">
        <x:v>OUT</x:v>
      </x:c>
      <x:c r="D45" s="39" t="str">
        <x:v>Other / Unclassified</x:v>
      </x:c>
      <x:c r="E45" s="39" t="str">
        <x:v>C</x:v>
      </x:c>
      <x:c r="F45" s="39" t="str"/>
      <x:c r="G45" s="39" t="str">
        <x:v>Yes</x:v>
      </x:c>
      <x:c r="H45" s="39" t="str"/>
      <x:c r="I45" s="39" t="str"/>
      <x:c r="J45" s="41" t="str">
        <x:v>0</x:v>
      </x:c>
      <x:c r="K45" s="43" t="str">
        <x:v>46.2</x:v>
      </x:c>
      <x:c r="L45" s="45" t="str">
        <x:v>120338</x:v>
      </x:c>
      <x:c r="M45" s="39" t="str">
        <x:v>SELL ON RALLY</x:v>
      </x:c>
      <x:c r="N45" s="39" t="str">
        <x:v>FMCG overlap</x:v>
      </x:c>
      <x:c r="O45" s="39" t="str">
        <x:v>Excluded after 60-stock rebalance</x:v>
      </x:c>
      <x:c r="P45" s="39" t="str">
        <x:v>Master 50 OUT</x:v>
      </x:c>
      <x:c r="Q45" s="39" t="str">
        <x:v>portfolio_export (14).csv</x:v>
      </x:c>
    </x:row>
    <x:row r="46">
      <x:c r="A46" s="39" t="n">
        <x:v>42</x:v>
      </x:c>
      <x:c r="B46" s="39" t="str">
        <x:v>MARICO</x:v>
      </x:c>
      <x:c r="C46" s="39" t="str">
        <x:v>OUT</x:v>
      </x:c>
      <x:c r="D46" s="39" t="str">
        <x:v>Other / Unclassified</x:v>
      </x:c>
      <x:c r="E46" s="39" t="str">
        <x:v>C</x:v>
      </x:c>
      <x:c r="F46" s="39" t="str"/>
      <x:c r="G46" s="39" t="str">
        <x:v>Yes</x:v>
      </x:c>
      <x:c r="H46" s="39" t="str"/>
      <x:c r="I46" s="39" t="str"/>
      <x:c r="J46" s="41" t="str">
        <x:v>0</x:v>
      </x:c>
      <x:c r="K46" s="43" t="str">
        <x:v>55.7</x:v>
      </x:c>
      <x:c r="L46" s="45" t="str">
        <x:v>105135</x:v>
      </x:c>
      <x:c r="M46" s="39" t="str">
        <x:v>HOLD</x:v>
      </x:c>
      <x:c r="N46" s="39" t="str">
        <x:v>FMCG overlap</x:v>
      </x:c>
      <x:c r="O46" s="39" t="str">
        <x:v>Excluded after 60-stock rebalance</x:v>
      </x:c>
      <x:c r="P46" s="39" t="str">
        <x:v>Master 50 OUT</x:v>
      </x:c>
      <x:c r="Q46" s="39" t="str">
        <x:v>portfolio_export (14).csv</x:v>
      </x:c>
    </x:row>
    <x:row r="47">
      <x:c r="A47" s="39" t="n">
        <x:v>43</x:v>
      </x:c>
      <x:c r="B47" s="39" t="str">
        <x:v>CHENNPETRO</x:v>
      </x:c>
      <x:c r="C47" s="39" t="str">
        <x:v>OUT</x:v>
      </x:c>
      <x:c r="D47" s="39" t="str">
        <x:v>Other / Unclassified</x:v>
      </x:c>
      <x:c r="E47" s="39" t="str">
        <x:v>C</x:v>
      </x:c>
      <x:c r="F47" s="39" t="str"/>
      <x:c r="G47" s="39" t="str">
        <x:v>Yes</x:v>
      </x:c>
      <x:c r="H47" s="39" t="str"/>
      <x:c r="I47" s="39" t="str"/>
      <x:c r="J47" s="41" t="str">
        <x:v>0</x:v>
      </x:c>
      <x:c r="K47" s="43" t="str">
        <x:v>5.2</x:v>
      </x:c>
      <x:c r="L47" s="45" t="str">
        <x:v>21681</x:v>
      </x:c>
      <x:c r="M47" s="39" t="str">
        <x:v>HOLD</x:v>
      </x:c>
      <x:c r="N47" s="39" t="str">
        <x:v>Cyclical/refining exposure</x:v>
      </x:c>
      <x:c r="O47" s="39" t="str">
        <x:v>Excluded after 60-stock rebalance</x:v>
      </x:c>
      <x:c r="P47" s="39" t="str">
        <x:v>Master 50 OUT</x:v>
      </x:c>
      <x:c r="Q47" s="39" t="str">
        <x:v>portfolio_export (14).csv</x:v>
      </x:c>
    </x:row>
    <x:row r="48">
      <x:c r="A48" s="39" t="n">
        <x:v>44</x:v>
      </x:c>
      <x:c r="B48" s="39" t="str">
        <x:v>APLAPOLLO</x:v>
      </x:c>
      <x:c r="C48" s="39" t="str">
        <x:v>OUT</x:v>
      </x:c>
      <x:c r="D48" s="39" t="str">
        <x:v>Other / Unclassified</x:v>
      </x:c>
      <x:c r="E48" s="39" t="str">
        <x:v>C</x:v>
      </x:c>
      <x:c r="F48" s="39" t="str"/>
      <x:c r="G48" s="39" t="str">
        <x:v>Yes</x:v>
      </x:c>
      <x:c r="H48" s="39" t="str"/>
      <x:c r="I48" s="39" t="str"/>
      <x:c r="J48" s="41" t="str">
        <x:v>0</x:v>
      </x:c>
      <x:c r="K48" s="43" t="str">
        <x:v>47.9</x:v>
      </x:c>
      <x:c r="L48" s="45" t="str">
        <x:v>58745</x:v>
      </x:c>
      <x:c r="M48" s="39" t="str">
        <x:v>HOLD</x:v>
      </x:c>
      <x:c r="N48" s="39" t="str">
        <x:v>Industrial steel exposure lower priority</x:v>
      </x:c>
      <x:c r="O48" s="39" t="str">
        <x:v>Excluded after 60-stock rebalance</x:v>
      </x:c>
      <x:c r="P48" s="39" t="str">
        <x:v>Master 50 OUT</x:v>
      </x:c>
      <x:c r="Q48" s="39" t="str">
        <x:v>portfolio_export (14).csv</x:v>
      </x:c>
    </x:row>
    <x:row r="49">
      <x:c r="A49" s="39" t="n">
        <x:v>45</x:v>
      </x:c>
      <x:c r="B49" s="39" t="str">
        <x:v>EICHERMOT</x:v>
      </x:c>
      <x:c r="C49" s="39" t="str">
        <x:v>OUT</x:v>
      </x:c>
      <x:c r="D49" s="39" t="str">
        <x:v>Other / Unclassified</x:v>
      </x:c>
      <x:c r="E49" s="39" t="str">
        <x:v>C</x:v>
      </x:c>
      <x:c r="F49" s="39" t="str"/>
      <x:c r="G49" s="39" t="str">
        <x:v>Yes</x:v>
      </x:c>
      <x:c r="H49" s="39" t="str"/>
      <x:c r="I49" s="39" t="str"/>
      <x:c r="J49" s="41" t="str">
        <x:v>0</x:v>
      </x:c>
      <x:c r="K49" s="43" t="str">
        <x:v>35.7</x:v>
      </x:c>
      <x:c r="L49" s="45" t="str">
        <x:v>205736</x:v>
      </x:c>
      <x:c r="M49" s="39" t="str">
        <x:v>HOLD</x:v>
      </x:c>
      <x:c r="N49" s="39" t="str">
        <x:v>Auto allocation already represented</x:v>
      </x:c>
      <x:c r="O49" s="39" t="str">
        <x:v>Excluded after 60-stock rebalance</x:v>
      </x:c>
      <x:c r="P49" s="39" t="str">
        <x:v>Master 50 OUT</x:v>
      </x:c>
      <x:c r="Q49" s="39" t="str">
        <x:v>portfolio_export (14).csv</x:v>
      </x:c>
    </x:row>
    <x:row r="50">
      <x:c r="A50" s="39" t="n">
        <x:v>46</x:v>
      </x:c>
      <x:c r="B50" s="39" t="str">
        <x:v>SCHAEFFLER</x:v>
      </x:c>
      <x:c r="C50" s="39" t="str">
        <x:v>OUT</x:v>
      </x:c>
      <x:c r="D50" s="39" t="str">
        <x:v>Other / Unclassified</x:v>
      </x:c>
      <x:c r="E50" s="39" t="str">
        <x:v>C</x:v>
      </x:c>
      <x:c r="F50" s="39" t="str"/>
      <x:c r="G50" s="39" t="str">
        <x:v>Yes</x:v>
      </x:c>
      <x:c r="H50" s="39" t="str"/>
      <x:c r="I50" s="39" t="str"/>
      <x:c r="J50" s="41" t="str">
        <x:v>0</x:v>
      </x:c>
      <x:c r="K50" s="43" t="str">
        <x:v>48.9</x:v>
      </x:c>
      <x:c r="L50" s="45" t="str">
        <x:v>61271</x:v>
      </x:c>
      <x:c r="M50" s="39" t="str">
        <x:v>HOLD</x:v>
      </x:c>
      <x:c r="N50" s="39" t="str">
        <x:v>Auto-industrial overlap</x:v>
      </x:c>
      <x:c r="O50" s="39" t="str">
        <x:v>Excluded after 60-stock rebalance</x:v>
      </x:c>
      <x:c r="P50" s="39" t="str">
        <x:v>Master 50 OUT</x:v>
      </x:c>
      <x:c r="Q50" s="39" t="str">
        <x:v>portfolio_export (14).csv</x:v>
      </x:c>
    </x:row>
    <x:row r="51">
      <x:c r="A51" s="39" t="n">
        <x:v>47</x:v>
      </x:c>
      <x:c r="B51" s="39" t="str">
        <x:v>DIVISLAB</x:v>
      </x:c>
      <x:c r="C51" s="39" t="str">
        <x:v>OUT</x:v>
      </x:c>
      <x:c r="D51" s="39" t="str">
        <x:v>Other / Unclassified</x:v>
      </x:c>
      <x:c r="E51" s="39" t="str">
        <x:v>C</x:v>
      </x:c>
      <x:c r="F51" s="39" t="str"/>
      <x:c r="G51" s="39" t="str">
        <x:v>Yes</x:v>
      </x:c>
      <x:c r="H51" s="39" t="str"/>
      <x:c r="I51" s="39" t="str"/>
      <x:c r="J51" s="41" t="str">
        <x:v>0</x:v>
      </x:c>
      <x:c r="K51" s="43" t="str">
        <x:v>83.1</x:v>
      </x:c>
      <x:c r="L51" s="45" t="str">
        <x:v>243116</x:v>
      </x:c>
      <x:c r="M51" s="39" t="str">
        <x:v>HOLD</x:v>
      </x:c>
      <x:c r="N51" s="39" t="str">
        <x:v>Pharma exposure not essential in final basket</x:v>
      </x:c>
      <x:c r="O51" s="39" t="str">
        <x:v>Excluded after 60-stock rebalance</x:v>
      </x:c>
      <x:c r="P51" s="39" t="str">
        <x:v>Master 50 OUT</x:v>
      </x:c>
      <x:c r="Q51" s="39" t="str">
        <x:v>portfolio_export (14).csv</x:v>
      </x:c>
    </x:row>
    <x:row r="52">
      <x:c r="A52" s="39" t="n">
        <x:v>48</x:v>
      </x:c>
      <x:c r="B52" s="39" t="str">
        <x:v>BOSCHLTD</x:v>
      </x:c>
      <x:c r="C52" s="39" t="str">
        <x:v>OUT</x:v>
      </x:c>
      <x:c r="D52" s="39" t="str">
        <x:v>Other / Unclassified</x:v>
      </x:c>
      <x:c r="E52" s="39" t="str">
        <x:v>C</x:v>
      </x:c>
      <x:c r="F52" s="39" t="str"/>
      <x:c r="G52" s="39" t="str">
        <x:v>Yes</x:v>
      </x:c>
      <x:c r="H52" s="39" t="str"/>
      <x:c r="I52" s="39" t="str"/>
      <x:c r="J52" s="41" t="str">
        <x:v>0</x:v>
      </x:c>
      <x:c r="K52" s="43" t="str">
        <x:v>59.5</x:v>
      </x:c>
      <x:c r="L52" s="45" t="str">
        <x:v>140814</x:v>
      </x:c>
      <x:c r="M52" s="39" t="str">
        <x:v>HOLD</x:v>
      </x:c>
      <x:c r="N52" s="39" t="str">
        <x:v>Auto-component overlap</x:v>
      </x:c>
      <x:c r="O52" s="39" t="str">
        <x:v>Excluded after 60-stock rebalance</x:v>
      </x:c>
      <x:c r="P52" s="39" t="str">
        <x:v>Master 50 OUT</x:v>
      </x:c>
      <x:c r="Q52" s="39" t="str">
        <x:v>portfolio_export (14).csv</x:v>
      </x:c>
    </x:row>
    <x:row r="53">
      <x:c r="A53" s="39" t="n">
        <x:v>49</x:v>
      </x:c>
      <x:c r="B53" s="39" t="str">
        <x:v>LATENT VIEW</x:v>
      </x:c>
      <x:c r="C53" s="39" t="str">
        <x:v>OUT</x:v>
      </x:c>
      <x:c r="D53" s="39" t="str">
        <x:v>Other / Unclassified</x:v>
      </x:c>
      <x:c r="E53" s="39" t="str">
        <x:v>M</x:v>
      </x:c>
      <x:c r="F53" s="39" t="str"/>
      <x:c r="G53" s="39" t="str"/>
      <x:c r="H53" s="39" t="str">
        <x:v>Yes</x:v>
      </x:c>
      <x:c r="I53" s="39" t="str"/>
      <x:c r="J53" s="41" t="str"/>
      <x:c r="K53" s="43" t="str"/>
      <x:c r="L53" s="45" t="str"/>
      <x:c r="M53" s="39" t="str"/>
      <x:c r="N53" s="39" t="str">
        <x:v>Good quantitative profile but lower portfolio priority</x:v>
      </x:c>
      <x:c r="O53" s="39" t="str">
        <x:v>Excluded after 60-stock rebalance</x:v>
      </x:c>
      <x:c r="P53" s="39" t="str">
        <x:v>Master 50 OUT</x:v>
      </x:c>
      <x:c r="Q53" s="39" t="str"/>
    </x:row>
    <x:row r="54">
      <x:c r="A54" s="39" t="n">
        <x:v>50</x:v>
      </x:c>
      <x:c r="B54" s="39" t="str">
        <x:v>RATEGAIN</x:v>
      </x:c>
      <x:c r="C54" s="39" t="str">
        <x:v>OUT</x:v>
      </x:c>
      <x:c r="D54" s="39" t="str">
        <x:v>Other / Unclassified</x:v>
      </x:c>
      <x:c r="E54" s="39" t="str">
        <x:v>M</x:v>
      </x:c>
      <x:c r="F54" s="39" t="str"/>
      <x:c r="G54" s="39" t="str"/>
      <x:c r="H54" s="39" t="str">
        <x:v>Yes</x:v>
      </x:c>
      <x:c r="I54" s="39" t="str"/>
      <x:c r="J54" s="41" t="str">
        <x:v>0</x:v>
      </x:c>
      <x:c r="K54" s="43" t="str">
        <x:v>42.1</x:v>
      </x:c>
      <x:c r="L54" s="45" t="str">
        <x:v>10116</x:v>
      </x:c>
      <x:c r="M54" s="39" t="str"/>
      <x:c r="N54" s="39" t="str">
        <x:v>More execution-sensitive</x:v>
      </x:c>
      <x:c r="O54" s="39" t="str">
        <x:v>Excluded after 60-stock rebalance</x:v>
      </x:c>
      <x:c r="P54" s="39" t="str">
        <x:v>Master 50 OUT</x:v>
      </x:c>
      <x:c r="Q54" s="39" t="str">
        <x:v>portfolio_export (14).csv</x:v>
      </x:c>
    </x:row>
    <x:row r="55">
      <x:c r="A55" s="39" t="n">
        <x:v>51</x:v>
      </x:c>
      <x:c r="B55" s="39" t="str">
        <x:v>SANDUR MANGANESE</x:v>
      </x:c>
      <x:c r="C55" s="39" t="str">
        <x:v>OUT</x:v>
      </x:c>
      <x:c r="D55" s="39" t="str">
        <x:v>Other / Unclassified</x:v>
      </x:c>
      <x:c r="E55" s="39" t="str">
        <x:v>M</x:v>
      </x:c>
      <x:c r="F55" s="39" t="str"/>
      <x:c r="G55" s="39" t="str"/>
      <x:c r="H55" s="39" t="str">
        <x:v>Yes</x:v>
      </x:c>
      <x:c r="I55" s="39" t="str"/>
      <x:c r="J55" s="41" t="str">
        <x:v>0</x:v>
      </x:c>
      <x:c r="K55" s="43" t="str">
        <x:v>12.3</x:v>
      </x:c>
      <x:c r="L55" s="45" t="str">
        <x:v>8779</x:v>
      </x:c>
      <x:c r="M55" s="39" t="str"/>
      <x:c r="N55" s="39" t="str">
        <x:v>Commodity/cyclical exposure</x:v>
      </x:c>
      <x:c r="O55" s="39" t="str">
        <x:v>Excluded after 60-stock rebalance</x:v>
      </x:c>
      <x:c r="P55" s="39" t="str">
        <x:v>Master 50 OUT</x:v>
      </x:c>
      <x:c r="Q55" s="39" t="str">
        <x:v>portfolio_export (14).csv</x:v>
      </x:c>
    </x:row>
    <x:row r="56">
      <x:c r="A56" s="39" t="n">
        <x:v>52</x:v>
      </x:c>
      <x:c r="B56" s="39" t="str">
        <x:v>TBO TEK</x:v>
      </x:c>
      <x:c r="C56" s="39" t="str">
        <x:v>OUT</x:v>
      </x:c>
      <x:c r="D56" s="39" t="str">
        <x:v>Other / Unclassified</x:v>
      </x:c>
      <x:c r="E56" s="39" t="str">
        <x:v>M</x:v>
      </x:c>
      <x:c r="F56" s="39" t="str"/>
      <x:c r="G56" s="39" t="str"/>
      <x:c r="H56" s="39" t="str">
        <x:v>Yes</x:v>
      </x:c>
      <x:c r="I56" s="39" t="str"/>
      <x:c r="J56" s="41" t="str"/>
      <x:c r="K56" s="43" t="str"/>
      <x:c r="L56" s="45" t="str"/>
      <x:c r="M56" s="39" t="str"/>
      <x:c r="N56" s="39" t="str">
        <x:v>Strong growth but high valuation</x:v>
      </x:c>
      <x:c r="O56" s="39" t="str">
        <x:v>Excluded after 60-stock rebalance</x:v>
      </x:c>
      <x:c r="P56" s="39" t="str">
        <x:v>Master 50 OUT</x:v>
      </x:c>
      <x:c r="Q56" s="39" t="str"/>
    </x:row>
    <x:row r="57">
      <x:c r="A57" s="39" t="n">
        <x:v>53</x:v>
      </x:c>
      <x:c r="B57" s="39" t="str">
        <x:v>TIPS MUSIC</x:v>
      </x:c>
      <x:c r="C57" s="39" t="str">
        <x:v>OUT</x:v>
      </x:c>
      <x:c r="D57" s="39" t="str">
        <x:v>Other / Unclassified</x:v>
      </x:c>
      <x:c r="E57" s="39" t="str">
        <x:v>M</x:v>
      </x:c>
      <x:c r="F57" s="39" t="str"/>
      <x:c r="G57" s="39" t="str"/>
      <x:c r="H57" s="39" t="str">
        <x:v>Yes</x:v>
      </x:c>
      <x:c r="I57" s="39" t="str"/>
      <x:c r="J57" s="41" t="str"/>
      <x:c r="K57" s="43" t="str"/>
      <x:c r="L57" s="45" t="str"/>
      <x:c r="M57" s="39" t="str"/>
      <x:c r="N57" s="39" t="str">
        <x:v>Narrower business model despite strong metrics</x:v>
      </x:c>
      <x:c r="O57" s="39" t="str">
        <x:v>Excluded after 60-stock rebalance</x:v>
      </x:c>
      <x:c r="P57" s="39" t="str">
        <x:v>Master 50 OUT</x:v>
      </x:c>
      <x:c r="Q57" s="39" t="str"/>
    </x:row>
    <x:row r="58">
      <x:c r="A58" s="39" t="n">
        <x:v>54</x:v>
      </x:c>
      <x:c r="B58" s="39" t="str">
        <x:v>AMBUJA CEMENTS</x:v>
      </x:c>
      <x:c r="C58" s="39" t="str">
        <x:v>OUT</x:v>
      </x:c>
      <x:c r="D58" s="39" t="str">
        <x:v>Other / Unclassified</x:v>
      </x:c>
      <x:c r="E58" s="39" t="str">
        <x:v>—</x:v>
      </x:c>
      <x:c r="F58" s="39" t="str"/>
      <x:c r="G58" s="39" t="str"/>
      <x:c r="H58" s="39" t="str"/>
      <x:c r="I58" s="39" t="str"/>
      <x:c r="J58" s="41" t="str"/>
      <x:c r="K58" s="43" t="str"/>
      <x:c r="L58" s="45" t="str"/>
      <x:c r="M58" s="39" t="str"/>
      <x:c r="N58" s="39" t="str">
        <x:v>Fully sold; no longer a current holding</x:v>
      </x:c>
      <x:c r="O58" s="39" t="str">
        <x:v>Excluded after 60-stock rebalance</x:v>
      </x:c>
      <x:c r="P58" s="39" t="str">
        <x:v>Master 50 OUT</x:v>
      </x:c>
      <x:c r="Q58" s="39" t="str"/>
    </x:row>
    <x:row r="59">
      <x:c r="A59" s="39" t="n">
        <x:v>55</x:v>
      </x:c>
      <x:c r="B59" s="39" t="str">
        <x:v>ASTRAL</x:v>
      </x:c>
      <x:c r="C59" s="39" t="str">
        <x:v>OUT</x:v>
      </x:c>
      <x:c r="D59" s="39" t="str">
        <x:v>Other / Unclassified</x:v>
      </x:c>
      <x:c r="E59" s="39" t="str">
        <x:v>—</x:v>
      </x:c>
      <x:c r="F59" s="39" t="str"/>
      <x:c r="G59" s="39" t="str"/>
      <x:c r="H59" s="39" t="str"/>
      <x:c r="I59" s="39" t="str"/>
      <x:c r="J59" s="41" t="str"/>
      <x:c r="K59" s="43" t="str"/>
      <x:c r="L59" s="45" t="str"/>
      <x:c r="M59" s="39" t="str"/>
      <x:c r="N59" s="39" t="str">
        <x:v>Fully sold; no longer a current holding</x:v>
      </x:c>
      <x:c r="O59" s="39" t="str">
        <x:v>Excluded after 60-stock rebalance</x:v>
      </x:c>
      <x:c r="P59" s="39" t="str">
        <x:v>Master 50 OUT</x:v>
      </x:c>
      <x:c r="Q59" s="39" t="str"/>
    </x:row>
    <x:row r="60">
      <x:c r="A60" s="39" t="n">
        <x:v>56</x:v>
      </x:c>
      <x:c r="B60" s="39" t="str">
        <x:v>BLACKROSE-BE</x:v>
      </x:c>
      <x:c r="C60" s="39" t="str">
        <x:v>OUT</x:v>
      </x:c>
      <x:c r="D60" s="39" t="str">
        <x:v>Other / Unclassified</x:v>
      </x:c>
      <x:c r="E60" s="39" t="str">
        <x:v>—</x:v>
      </x:c>
      <x:c r="F60" s="39" t="str"/>
      <x:c r="G60" s="39" t="str"/>
      <x:c r="H60" s="39" t="str"/>
      <x:c r="I60" s="39" t="str"/>
      <x:c r="J60" s="41" t="str"/>
      <x:c r="K60" s="43" t="str"/>
      <x:c r="L60" s="45" t="str"/>
      <x:c r="M60" s="39" t="str"/>
      <x:c r="N60" s="39" t="str">
        <x:v>Fully sold; no longer a current holding</x:v>
      </x:c>
      <x:c r="O60" s="39" t="str">
        <x:v>Excluded after 60-stock rebalance</x:v>
      </x:c>
      <x:c r="P60" s="39" t="str">
        <x:v>Master 50 OUT</x:v>
      </x:c>
      <x:c r="Q60" s="39" t="str"/>
    </x:row>
    <x:row r="61">
      <x:c r="A61" s="39" t="n">
        <x:v>57</x:v>
      </x:c>
      <x:c r="B61" s="39" t="str">
        <x:v>ITC HOTELS</x:v>
      </x:c>
      <x:c r="C61" s="39" t="str">
        <x:v>OUT</x:v>
      </x:c>
      <x:c r="D61" s="39" t="str">
        <x:v>Other / Unclassified</x:v>
      </x:c>
      <x:c r="E61" s="39" t="str">
        <x:v>—</x:v>
      </x:c>
      <x:c r="F61" s="39" t="str"/>
      <x:c r="G61" s="39" t="str"/>
      <x:c r="H61" s="39" t="str"/>
      <x:c r="I61" s="39" t="str"/>
      <x:c r="J61" s="41" t="str"/>
      <x:c r="K61" s="43" t="str"/>
      <x:c r="L61" s="45" t="str"/>
      <x:c r="M61" s="39" t="str"/>
      <x:c r="N61" s="39" t="str">
        <x:v>Fully sold; no longer a current holding</x:v>
      </x:c>
      <x:c r="O61" s="39" t="str">
        <x:v>Excluded after 60-stock rebalance</x:v>
      </x:c>
      <x:c r="P61" s="39" t="str">
        <x:v>Master 50 OUT</x:v>
      </x:c>
      <x:c r="Q61" s="39" t="str"/>
    </x:row>
    <x:row r="62">
      <x:c r="A62" s="39" t="n">
        <x:v>58</x:v>
      </x:c>
      <x:c r="B62" s="39" t="str">
        <x:v>KWIL</x:v>
      </x:c>
      <x:c r="C62" s="39" t="str">
        <x:v>OUT</x:v>
      </x:c>
      <x:c r="D62" s="39" t="str">
        <x:v>Other / Unclassified</x:v>
      </x:c>
      <x:c r="E62" s="39" t="str">
        <x:v>—</x:v>
      </x:c>
      <x:c r="F62" s="39" t="str"/>
      <x:c r="G62" s="39" t="str"/>
      <x:c r="H62" s="39" t="str"/>
      <x:c r="I62" s="39" t="str"/>
      <x:c r="J62" s="41" t="str"/>
      <x:c r="K62" s="43" t="str"/>
      <x:c r="L62" s="45" t="str"/>
      <x:c r="M62" s="39" t="str"/>
      <x:c r="N62" s="39" t="str">
        <x:v>Fully sold; no longer a current holding</x:v>
      </x:c>
      <x:c r="O62" s="39" t="str">
        <x:v>Excluded after 60-stock rebalance</x:v>
      </x:c>
      <x:c r="P62" s="39" t="str">
        <x:v>Master 50 OUT</x:v>
      </x:c>
      <x:c r="Q62" s="39" t="str"/>
    </x:row>
  </x:sheetData>
  <x:mergeCells>
    <x:mergeCell ref="A1:Q1"/>
    <x:mergeCell ref="A2:Q2"/>
  </x:mergeCells>
  <x:conditionalFormatting sqref="M5:M62">
    <x:cfRule type="expression" dxfId="1" priority="1">
      <x:formula>M5="BUY"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7040d5628043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5" hidden="0" customWidth="1"/>
    <x:col min="3" max="3" width="34" hidden="0" customWidth="1"/>
    <x:col min="4" max="4" width="12" hidden="0" customWidth="1"/>
    <x:col min="5" max="5" width="34" hidden="0" customWidth="1"/>
  </x:cols>
  <x:sheetData>
    <x:row r="1">
      <x:c r="A1" s="5" t="str">
        <x:v>ETFs — SEPARATE FROM 60-STOCK EQUITY BASKET</x:v>
      </x:c>
      <x:c r="B1" s="5"/>
      <x:c r="C1" s="5"/>
      <x:c r="D1" s="5"/>
      <x:c r="E1" s="5"/>
    </x:row>
    <x:row r="3">
      <x:c r="A3" s="20" t="str">
        <x:v>#</x:v>
      </x:c>
      <x:c r="B3" s="20" t="str">
        <x:v>ETF</x:v>
      </x:c>
      <x:c r="C3" s="20" t="str">
        <x:v>Description</x:v>
      </x:c>
      <x:c r="D3" s="20" t="str">
        <x:v>Bucket</x:v>
      </x:c>
      <x:c r="E3" s="20" t="str">
        <x:v>Treatment</x:v>
      </x:c>
    </x:row>
    <x:row r="4">
      <x:c r="A4" s="39" t="n">
        <x:v>1</x:v>
      </x:c>
      <x:c r="B4" s="39" t="str">
        <x:v>MAFANG</x:v>
      </x:c>
      <x:c r="C4" s="39" t="str">
        <x:v>Motilal Oswal FANG+ ETF</x:v>
      </x:c>
      <x:c r="D4" s="39" t="str">
        <x:v>OUT</x:v>
      </x:c>
      <x:c r="E4" s="39" t="str">
        <x:v>Excluded from 50-stock equity basket</x:v>
      </x:c>
    </x:row>
    <x:row r="5">
      <x:c r="A5" s="39" t="n">
        <x:v>2</x:v>
      </x:c>
      <x:c r="B5" s="39" t="str">
        <x:v>MON100</x:v>
      </x:c>
      <x:c r="C5" s="39" t="str">
        <x:v>Motilal Oswal NASDAQ 100 ETF</x:v>
      </x:c>
      <x:c r="D5" s="39" t="str">
        <x:v>OUT</x:v>
      </x:c>
      <x:c r="E5" s="39" t="str">
        <x:v>International ETF; separate from equity basket</x:v>
      </x:c>
    </x:row>
    <x:row r="6">
      <x:c r="A6" s="39" t="n">
        <x:v>3</x:v>
      </x:c>
      <x:c r="B6" s="39" t="str">
        <x:v>MONQ50</x:v>
      </x:c>
      <x:c r="C6" s="39" t="str">
        <x:v>Motilal Oswal NASDAQ Q-50 ETF</x:v>
      </x:c>
      <x:c r="D6" s="39" t="str">
        <x:v>OUT</x:v>
      </x:c>
      <x:c r="E6" s="39" t="str">
        <x:v>International ETF; separate from equity basket</x:v>
      </x:c>
    </x:row>
    <x:row r="7">
      <x:c r="A7" s="39" t="n">
        <x:v>4</x:v>
      </x:c>
      <x:c r="B7" s="39" t="str">
        <x:v>GOLDBEES</x:v>
      </x:c>
      <x:c r="C7" s="39" t="str">
        <x:v>Gold ETF</x:v>
      </x:c>
      <x:c r="D7" s="39" t="str">
        <x:v>OUT</x:v>
      </x:c>
      <x:c r="E7" s="39" t="str">
        <x:v>Commodity ETF; separate from equity basket</x:v>
      </x:c>
    </x:row>
    <x:row r="8">
      <x:c r="A8" s="39" t="n">
        <x:v>5</x:v>
      </x:c>
      <x:c r="B8" s="39" t="str">
        <x:v>NIFTYBEES</x:v>
      </x:c>
      <x:c r="C8" s="39" t="str">
        <x:v>Nifty 50 ETF</x:v>
      </x:c>
      <x:c r="D8" s="39" t="str">
        <x:v>OUT</x:v>
      </x:c>
      <x:c r="E8" s="39" t="str">
        <x:v>Index ETF; separate from equity basket</x:v>
      </x:c>
    </x:row>
    <x:row r="9">
      <x:c r="A9" s="39" t="n">
        <x:v>6</x:v>
      </x:c>
      <x:c r="B9" s="39" t="str">
        <x:v>JUNIORBEES</x:v>
      </x:c>
      <x:c r="C9" s="39" t="str">
        <x:v>Nifty Next 50 ETF</x:v>
      </x:c>
      <x:c r="D9" s="39" t="str">
        <x:v>OUT</x:v>
      </x:c>
      <x:c r="E9" s="39" t="str">
        <x:v>Index ETF; separate from equity basket</x:v>
      </x:c>
    </x:row>
    <x:row r="10">
      <x:c r="A10" s="39" t="n">
        <x:v>7</x:v>
      </x:c>
      <x:c r="B10" s="39" t="str">
        <x:v>MID150BEES</x:v>
      </x:c>
      <x:c r="C10" s="39" t="str">
        <x:v>Nifty Midcap 150 ETF</x:v>
      </x:c>
      <x:c r="D10" s="39" t="str">
        <x:v>OUT</x:v>
      </x:c>
      <x:c r="E10" s="39" t="str">
        <x:v>Index ETF; separate from equity basket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baf3eab41645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50" hidden="0" customWidth="1"/>
    <x:col min="4" max="4" width="30" hidden="0" customWidth="1"/>
  </x:cols>
  <x:sheetData>
    <x:row r="1">
      <x:c r="A1" s="5" t="str">
        <x:v>PORTFOLIO CONSTRUCTION RULES — FINAL 45 + 15</x:v>
      </x:c>
      <x:c r="B1" s="5"/>
      <x:c r="C1" s="5"/>
      <x:c r="D1" s="5"/>
    </x:row>
    <x:row r="3">
      <x:c r="A3" s="20" t="str">
        <x:v>Rule #</x:v>
      </x:c>
      <x:c r="B3" s="20" t="str">
        <x:v>Agreed Rule</x:v>
      </x:c>
      <x:c r="C3" s="20" t="str">
        <x:v>Implementation</x:v>
      </x:c>
      <x:c r="D3" s="20" t="str">
        <x:v>Source / note</x:v>
      </x:c>
    </x:row>
    <x:row r="4">
      <x:c r="A4" s="65" t="n">
        <x:v>1</x:v>
      </x:c>
      <x:c r="B4" s="65" t="str">
        <x:v>Retain every existing Master-IN stock in its existing P1/P2 bucket.</x:v>
      </x:c>
      <x:c r="C4" s="65" t="str">
        <x:v>All 50 Master-IN stocks remain in IN_60; original tagged P1/P2 positions are retained.</x:v>
      </x:c>
      <x:c r="D4" s="65" t="str">
        <x:v>Master 50 workbook</x:v>
      </x:c>
    </x:row>
    <x:row r="5">
      <x:c r="A5" s="65" t="n">
        <x:v>2</x:v>
      </x:c>
      <x:c r="B5" s="65" t="str">
        <x:v>P1 priority: C+Q first, then C, then M.</x:v>
      </x:c>
      <x:c r="C5" s="65" t="str">
        <x:v>Current source has C/M flags but no stock-level Q results; Q not inferred.</x:v>
      </x:c>
      <x:c r="D5" s="65" t="str">
        <x:v>Master 50 + screener definitions</x:v>
      </x:c>
    </x:row>
    <x:row r="6">
      <x:c r="A6" s="65" t="n">
        <x:v>3</x:v>
      </x:c>
      <x:c r="B6" s="65" t="str">
        <x:v>All Q stocks are a subset of C.</x:v>
      </x:c>
      <x:c r="C6" s="65" t="str">
        <x:v>Hierarchy only; no unsupported stock-level Q label added.</x:v>
      </x:c>
      <x:c r="D6" s="65" t="str">
        <x:v>Screener definition</x:v>
      </x:c>
    </x:row>
    <x:row r="7">
      <x:c r="A7" s="65" t="n">
        <x:v>4</x:v>
      </x:c>
      <x:c r="B7" s="65" t="str">
        <x:v>ATHERENERG and SYRMA remain P1.</x:v>
      </x:c>
      <x:c r="C7" s="65" t="str">
        <x:v>ATHERENERG is a protected conviction exception; SYRMA is retained from Master-IN/P1.</x:v>
      </x:c>
      <x:c r="D7" s="65" t="str">
        <x:v>User instruction + latest CSV</x:v>
      </x:c>
    </x:row>
    <x:row r="8">
      <x:c r="A8" s="65" t="n">
        <x:v>5</x:v>
      </x:c>
      <x:c r="B8" s="65" t="str">
        <x:v>HAL and SIEMENS are P1.</x:v>
      </x:c>
      <x:c r="C8" s="65" t="str">
        <x:v>Both were explicitly confirmed as already placed in P1 by the user.</x:v>
      </x:c>
      <x:c r="D8" s="65" t="str">
        <x:v>User instruction</x:v>
      </x:c>
    </x:row>
    <x:row r="9">
      <x:c r="A9" s="65" t="n">
        <x:v>6</x:v>
      </x:c>
      <x:c r="B9" s="65" t="str">
        <x:v>TATAELXSI remains P2.</x:v>
      </x:c>
      <x:c r="C9" s="65" t="str">
        <x:v>Latest portfolio_export (14).csv shows PORT=P2; Master OUT marks it C.</x:v>
      </x:c>
      <x:c r="D9" s="65" t="str">
        <x:v>Latest CSV + Master 50</x:v>
      </x:c>
    </x:row>
    <x:row r="10">
      <x:c r="A10" s="65" t="n">
        <x:v>7</x:v>
      </x:c>
      <x:c r="B10" s="65" t="str">
        <x:v>ETFs are separate.</x:v>
      </x:c>
      <x:c r="C10" s="65" t="str">
        <x:v>7 ETFs are on ETF_7 and excluded from IN_60/OUT_58.</x:v>
      </x:c>
      <x:c r="D10" s="65" t="str">
        <x:v>Master 50 ETF sheet</x:v>
      </x:c>
    </x:row>
    <x:row r="11">
      <x:c r="A11" s="65" t="n">
        <x:v>8</x:v>
      </x:c>
      <x:c r="B11" s="65" t="str">
        <x:v>OUT contains the remaining non-ETF Master OUT names.</x:v>
      </x:c>
      <x:c r="C11" s="65" t="str">
        <x:v>Original Master OUT minus the 10 promoted stocks.</x:v>
      </x:c>
      <x:c r="D11" s="65" t="str">
        <x:v>Master 50 rebalance</x:v>
      </x:c>
    </x:row>
  </x:sheetData>
  <x:mergeCells>
    <x:mergeCell ref="A1:D1"/>
  </x:mergeCells>
  <x:pageMargins left="0.7" right="0.7" top="0.75" bottom="0.75" header="0.3" footer="0.3"/>
</x:worksheet>
</file>